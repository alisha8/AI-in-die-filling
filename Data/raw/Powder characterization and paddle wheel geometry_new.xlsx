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kte\ZIM-Projekt\Data for Somayah\"/>
    </mc:Choice>
  </mc:AlternateContent>
  <xr:revisionPtr revIDLastSave="0" documentId="13_ncr:1_{5CADED72-8895-4E80-A778-15B496697CE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owder characterization" sheetId="1" r:id="rId1"/>
    <sheet name="Full Datasets powder charact." sheetId="3" r:id="rId2"/>
    <sheet name="Paddle wheel geometries" sheetId="2" r:id="rId3"/>
  </sheets>
  <definedNames>
    <definedName name="_Hlk216861400" localSheetId="2">'Paddle wheel geometries'!$H$6</definedName>
    <definedName name="_Hlk216861468" localSheetId="2">'Paddle wheel geometries'!$H$8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1" l="1"/>
  <c r="G10" i="1"/>
  <c r="G9" i="1"/>
  <c r="G11" i="1"/>
  <c r="G7" i="1"/>
</calcChain>
</file>

<file path=xl/sharedStrings.xml><?xml version="1.0" encoding="utf-8"?>
<sst xmlns="http://schemas.openxmlformats.org/spreadsheetml/2006/main" count="158" uniqueCount="70">
  <si>
    <t>Materials</t>
  </si>
  <si>
    <t>Dicalciumphosphate (DCP)</t>
  </si>
  <si>
    <t>Tricalciumcitrate (TCC)</t>
  </si>
  <si>
    <t>Lactose-Anhydrate (ST21AN)</t>
  </si>
  <si>
    <t>MCC coarse</t>
  </si>
  <si>
    <t>MCC  fine</t>
  </si>
  <si>
    <r>
      <t>Bulk density [g/cm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</si>
  <si>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r>
      <t>Tapped density [g/cm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</si>
  <si>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t>Hausner ratio [-]</t>
  </si>
  <si>
    <r>
      <t>True density [g/cm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]</t>
    </r>
  </si>
  <si>
    <t>Flowability</t>
  </si>
  <si>
    <t>Static angle of repose [°]</t>
  </si>
  <si>
    <t>Dynamic angle of repose (5 rpm) [°]</t>
  </si>
  <si>
    <t>Cohesion index (5 rpm) [-]</t>
  </si>
  <si>
    <r>
      <t>Volume flow through an orifice (d = 25 mm)[cm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/s]</t>
    </r>
  </si>
  <si>
    <r>
      <t>Permeability (5kPa compression stress)[m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</si>
  <si>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Rectangular cranked 10 mm</t>
  </si>
  <si>
    <t>Rectangular cranked 5,5 mm</t>
  </si>
  <si>
    <t>Paddle wheel geometry name</t>
  </si>
  <si>
    <t>Round cranked 10 mm</t>
  </si>
  <si>
    <t>Round cranked 5,5 mm</t>
  </si>
  <si>
    <t>Spider geometry</t>
  </si>
  <si>
    <t>Hub height [mm]</t>
  </si>
  <si>
    <t>Hub diameter [mm]</t>
  </si>
  <si>
    <t>Number of spokes</t>
  </si>
  <si>
    <t>Height of spokes [mm]</t>
  </si>
  <si>
    <t>Thickness of spokes [mm]</t>
  </si>
  <si>
    <t>Drawing</t>
  </si>
  <si>
    <t>Cut-out geometry</t>
  </si>
  <si>
    <t>Spalte1</t>
  </si>
  <si>
    <t>Compression stress [kPa]</t>
  </si>
  <si>
    <t>MCC fine</t>
  </si>
  <si>
    <t>DCP</t>
  </si>
  <si>
    <t>TCC</t>
  </si>
  <si>
    <t>Lactose-Anhydrate</t>
  </si>
  <si>
    <t>Flow function coefficient (4kPa preshear normal stress) [-]</t>
  </si>
  <si>
    <t>Pre shear normal stress [kPa]</t>
  </si>
  <si>
    <t>Rotational speed</t>
  </si>
  <si>
    <r>
      <t>Permeability [m</t>
    </r>
    <r>
      <rPr>
        <b/>
        <vertAlign val="superscript"/>
        <sz val="20"/>
        <color theme="1"/>
        <rFont val="Calibri"/>
        <family val="2"/>
        <scheme val="minor"/>
      </rPr>
      <t>2</t>
    </r>
    <r>
      <rPr>
        <b/>
        <sz val="20"/>
        <color theme="1"/>
        <rFont val="Calibri"/>
        <family val="2"/>
        <scheme val="minor"/>
      </rPr>
      <t>]</t>
    </r>
  </si>
  <si>
    <t>ffc-values [-]</t>
  </si>
  <si>
    <t>Dynamic angle of repose [°]</t>
  </si>
  <si>
    <t>Cohesion index [-]</t>
  </si>
  <si>
    <r>
      <t>Volume flow through orifice [cm</t>
    </r>
    <r>
      <rPr>
        <b/>
        <vertAlign val="superscript"/>
        <sz val="20"/>
        <color theme="1"/>
        <rFont val="Calibri"/>
        <family val="2"/>
        <scheme val="minor"/>
      </rPr>
      <t>3</t>
    </r>
    <r>
      <rPr>
        <b/>
        <sz val="20"/>
        <color theme="1"/>
        <rFont val="Calibri"/>
        <family val="2"/>
        <scheme val="minor"/>
      </rPr>
      <t>/s]</t>
    </r>
  </si>
  <si>
    <t>Orifice diameter</t>
  </si>
  <si>
    <t>no flow</t>
  </si>
  <si>
    <t>Powdered Cellulose (Arbocel P290)</t>
  </si>
  <si>
    <t>MCC finest (Vivapur 120)</t>
  </si>
  <si>
    <t>HPMC (60% Tylopur 90SH 40% Vivapur120)</t>
  </si>
  <si>
    <t>CaCO3(50% MagGranCC 39% TCC 10% MCC Vivapur 120 1% MgSt)</t>
  </si>
  <si>
    <t>MCC finest + Pellets (10%Cellets700 10%Vivapur101 80%Vivapur102)</t>
  </si>
  <si>
    <t>Spalte5</t>
  </si>
  <si>
    <t>Bulk density deviation[g/cm3]</t>
  </si>
  <si>
    <t>Tapped density deviation [g/cm3]</t>
  </si>
  <si>
    <t>Hausner ratio deviation [-]</t>
  </si>
  <si>
    <t>Permeability (5kPa compression stress) deviation[m2]</t>
  </si>
  <si>
    <t>Volume flow through an orifice (d = 25 mm) deviation[cm3/s]</t>
  </si>
  <si>
    <t>Static angle of repose deviation [°]</t>
  </si>
  <si>
    <t>incomplete dataset --&gt; less relevant for die filling</t>
  </si>
  <si>
    <t>Only single measurements were conducted</t>
  </si>
  <si>
    <t>Can be seen as the deviations of the dynamic angles of repose</t>
  </si>
  <si>
    <t>MCC coarse deviation</t>
  </si>
  <si>
    <t>MCC fine deviation</t>
  </si>
  <si>
    <t>Lactose-Anhydrate deviation</t>
  </si>
  <si>
    <t>DCP deviation</t>
  </si>
  <si>
    <t>TCC deviation</t>
  </si>
  <si>
    <t>Powdered Cellulose (Arbocel P290) deviation</t>
  </si>
  <si>
    <t>MCC finest (Vivapur 120) deviation</t>
  </si>
  <si>
    <t>MCC finest + Pellets (10%Cellets700 10%Vivapur101 80%Vivapur102) deviation</t>
  </si>
  <si>
    <t>HPMC (60% Tylopur 90SH 40% Vivapur120) deviation</t>
  </si>
  <si>
    <t>CaCO3(50% MagGranCC 39% TCC 10% MCC Vivapur 120 1% MgSt)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</si>
</sst>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vertAlign val="superscript"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 style="thick">
        <color rgb="FF666666"/>
      </top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/>
    <xf numFmtId="164" fontId="0" fillId="0" borderId="0" xfId="0" applyNumberFormat="1"/>
    <xf numFmtId="11" fontId="0" fillId="0" borderId="0" xfId="0" applyNumberFormat="1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2" borderId="7" xfId="0" applyFont="1" applyFill="1" applyBorder="1"/>
    <xf numFmtId="0" fontId="6" fillId="2" borderId="8" xfId="0" applyFont="1" applyFill="1" applyBorder="1"/>
    <xf numFmtId="0" fontId="7" fillId="0" borderId="0" xfId="0" applyFont="1"/>
    <xf numFmtId="0" fontId="0" fillId="0" borderId="0" xfId="0" applyNumberFormat="1"/>
    <xf numFmtId="0" fontId="7" fillId="0" borderId="0" xfId="0" applyFont="1" applyAlignment="1">
      <alignment wrapText="1"/>
    </xf>
    <xf numFmtId="0" fontId="6" fillId="2" borderId="9" xfId="0" applyNumberFormat="1" applyFont="1" applyFill="1" applyBorder="1"/>
    <xf numFmtId="0" fontId="6" fillId="2" borderId="0" xfId="0" applyFont="1" applyFill="1" applyBorder="1"/>
    <xf numFmtId="0" fontId="6" fillId="2" borderId="10" xfId="0" applyFont="1" applyFill="1" applyBorder="1"/>
    <xf numFmtId="0" fontId="6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5" fillId="0" borderId="5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4" fontId="0" fillId="0" borderId="0" xfId="0" applyNumberFormat="1"/>
  </cellXfs>
  <cellStyles count="1">
    <cellStyle name="Standard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4" formatCode="#,##0.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64" formatCode="0.000"/>
    </dxf>
    <dxf>
      <numFmt numFmtId="15" formatCode="0.00E+00"/>
    </dxf>
    <dxf>
      <border outline="0"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64" formatCode="0.00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495300</xdr:colOff>
          <xdr:row>4</xdr:row>
          <xdr:rowOff>333375</xdr:rowOff>
        </xdr:from>
        <xdr:to>
          <xdr:col>13</xdr:col>
          <xdr:colOff>438150</xdr:colOff>
          <xdr:row>7</xdr:row>
          <xdr:rowOff>209550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2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123825</xdr:colOff>
          <xdr:row>6</xdr:row>
          <xdr:rowOff>66675</xdr:rowOff>
        </xdr:from>
        <xdr:to>
          <xdr:col>11</xdr:col>
          <xdr:colOff>57150</xdr:colOff>
          <xdr:row>9</xdr:row>
          <xdr:rowOff>219075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2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693668</xdr:colOff>
      <xdr:row>7</xdr:row>
      <xdr:rowOff>107673</xdr:rowOff>
    </xdr:from>
    <xdr:to>
      <xdr:col>13</xdr:col>
      <xdr:colOff>481478</xdr:colOff>
      <xdr:row>11</xdr:row>
      <xdr:rowOff>296103</xdr:rowOff>
    </xdr:to>
    <xdr:pic>
      <xdr:nvPicPr>
        <xdr:cNvPr id="2" name="Grafik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8541983" y="2070108"/>
          <a:ext cx="1617180" cy="2073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710238</xdr:colOff>
      <xdr:row>9</xdr:row>
      <xdr:rowOff>291963</xdr:rowOff>
    </xdr:from>
    <xdr:to>
      <xdr:col>10</xdr:col>
      <xdr:colOff>532933</xdr:colOff>
      <xdr:row>14</xdr:row>
      <xdr:rowOff>157369</xdr:rowOff>
    </xdr:to>
    <xdr:pic>
      <xdr:nvPicPr>
        <xdr:cNvPr id="3" name="Grafik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-5400000">
          <a:off x="6283785" y="2951329"/>
          <a:ext cx="1629602" cy="210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440632</xdr:colOff>
      <xdr:row>11</xdr:row>
      <xdr:rowOff>313088</xdr:rowOff>
    </xdr:from>
    <xdr:to>
      <xdr:col>13</xdr:col>
      <xdr:colOff>554932</xdr:colOff>
      <xdr:row>15</xdr:row>
      <xdr:rowOff>672321</xdr:rowOff>
    </xdr:to>
    <xdr:pic>
      <xdr:nvPicPr>
        <xdr:cNvPr id="4" name="Grafik 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455828" y="3529109"/>
          <a:ext cx="1609907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9939</xdr:colOff>
      <xdr:row>13</xdr:row>
      <xdr:rowOff>221976</xdr:rowOff>
    </xdr:from>
    <xdr:to>
      <xdr:col>10</xdr:col>
      <xdr:colOff>463826</xdr:colOff>
      <xdr:row>19</xdr:row>
      <xdr:rowOff>35290</xdr:rowOff>
    </xdr:to>
    <xdr:pic>
      <xdr:nvPicPr>
        <xdr:cNvPr id="5" name="Grafik 6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285422" y="4366015"/>
          <a:ext cx="1618922" cy="1977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356152</xdr:colOff>
      <xdr:row>3</xdr:row>
      <xdr:rowOff>165652</xdr:rowOff>
    </xdr:from>
    <xdr:to>
      <xdr:col>13</xdr:col>
      <xdr:colOff>281609</xdr:colOff>
      <xdr:row>5</xdr:row>
      <xdr:rowOff>190500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H="1">
          <a:off x="9500152" y="737152"/>
          <a:ext cx="687457" cy="91937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190500</xdr:colOff>
      <xdr:row>2</xdr:row>
      <xdr:rowOff>24848</xdr:rowOff>
    </xdr:from>
    <xdr:ext cx="687456" cy="405432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10096500" y="405848"/>
          <a:ext cx="68745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000"/>
            <a:t>Hub</a:t>
          </a:r>
        </a:p>
      </xdr:txBody>
    </xdr:sp>
    <xdr:clientData/>
  </xdr:oneCellAnchor>
  <xdr:twoCellAnchor>
    <xdr:from>
      <xdr:col>13</xdr:col>
      <xdr:colOff>210378</xdr:colOff>
      <xdr:row>4</xdr:row>
      <xdr:rowOff>488674</xdr:rowOff>
    </xdr:from>
    <xdr:to>
      <xdr:col>14</xdr:col>
      <xdr:colOff>132522</xdr:colOff>
      <xdr:row>5</xdr:row>
      <xdr:rowOff>434008</xdr:rowOff>
    </xdr:to>
    <xdr:cxnSp macro="">
      <xdr:nvCxnSpPr>
        <xdr:cNvPr id="9" name="Gerade Verbindung mit Pfeil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 flipH="1">
          <a:off x="10116378" y="1258957"/>
          <a:ext cx="684144" cy="641073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177246</xdr:colOff>
      <xdr:row>4</xdr:row>
      <xdr:rowOff>160682</xdr:rowOff>
    </xdr:from>
    <xdr:ext cx="891209" cy="405432"/>
    <xdr:sp macro="" textlink="">
      <xdr:nvSpPr>
        <xdr:cNvPr id="10" name="Textfeld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10845246" y="930965"/>
          <a:ext cx="8912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DE" sz="2000"/>
            <a:t>Spoke</a:t>
          </a:r>
        </a:p>
      </xdr:txBody>
    </xdr:sp>
    <xdr:clientData/>
  </xdr:oneCellAnchor>
  <xdr:twoCellAnchor>
    <xdr:from>
      <xdr:col>10</xdr:col>
      <xdr:colOff>402532</xdr:colOff>
      <xdr:row>11</xdr:row>
      <xdr:rowOff>294038</xdr:rowOff>
    </xdr:from>
    <xdr:to>
      <xdr:col>13</xdr:col>
      <xdr:colOff>516832</xdr:colOff>
      <xdr:row>15</xdr:row>
      <xdr:rowOff>605646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438228" y="3497842"/>
          <a:ext cx="1568908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733839</xdr:colOff>
      <xdr:row>13</xdr:row>
      <xdr:rowOff>202926</xdr:rowOff>
    </xdr:from>
    <xdr:to>
      <xdr:col>10</xdr:col>
      <xdr:colOff>425726</xdr:colOff>
      <xdr:row>19</xdr:row>
      <xdr:rowOff>16240</xdr:rowOff>
    </xdr:to>
    <xdr:pic>
      <xdr:nvPicPr>
        <xdr:cNvPr id="11" name="Grafik 6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273826" y="4330814"/>
          <a:ext cx="1565914" cy="1977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B44A15-6874-4F6D-9EB7-F0C596B1DBB2}" name="Tabelle3" displayName="Tabelle3" ref="B5:S16" totalsRowShown="0" headerRowDxfId="41">
  <autoFilter ref="B5:S16" xr:uid="{BDB44A15-6874-4F6D-9EB7-F0C596B1DBB2}"/>
  <tableColumns count="18">
    <tableColumn id="1" xr3:uid="{9D358AB5-EDD8-41B0-8C50-3FD4DA832717}" name="Spalte1"/>
    <tableColumn id="2" xr3:uid="{87C740A9-E081-464A-91A4-B0E59FFE6628}" name="Bulk density [g/cm3]"/>
    <tableColumn id="13" xr3:uid="{79DBAC6D-7219-458E-B0CC-63F2627D0A8F}" name="Bulk density deviation[g/cm3]"/>
    <tableColumn id="3" xr3:uid="{F132A8D9-64BC-4905-9EDA-E34AFF0A765A}" name="Tapped density [g/cm3]"/>
    <tableColumn id="14" xr3:uid="{5EE9D4BF-1497-4835-94CF-3C61D4BB593F}" name="Tapped density deviation [g/cm3]"/>
    <tableColumn id="4" xr3:uid="{308715ED-5460-4A10-A38B-87A5821D5D5D}" name="Hausner ratio [-]">
      <calculatedColumnFormula>E6/C6</calculatedColumnFormula>
    </tableColumn>
    <tableColumn id="15" xr3:uid="{3F66585C-58A8-4E1B-AB70-34CD07FF8AB1}" name="Hausner ratio deviation [-]"/>
    <tableColumn id="5" xr3:uid="{D9EE4C71-0262-4154-8576-833F6E40348B}" name="True density [g/cm3]"/>
    <tableColumn id="16" xr3:uid="{CDFABEF4-1252-4B34-8384-C3C25584E72D}" name="Spalte5"/>
    <tableColumn id="6" xr3:uid="{2C3DEFA0-38D0-4A13-8487-C6008E6F4B58}" name="Flow function coefficient (4kPa preshear normal stress) [-]"/>
    <tableColumn id="7" xr3:uid="{BECF7C37-422E-4ABE-B799-2FE476929C36}" name="Static angle of repose [°]" dataDxfId="40"/>
    <tableColumn id="17" xr3:uid="{2C0E8C2B-AFF3-4D27-947A-39500E62EF7E}" name="Static angle of repose deviation [°]" dataDxfId="12"/>
    <tableColumn id="8" xr3:uid="{26023C27-3425-43B4-A640-BC142DDF6FE4}" name="Dynamic angle of repose (5 rpm) [°]"/>
    <tableColumn id="9" xr3:uid="{E4BD04C9-7576-4D8E-B53A-8D9E73F22A0D}" name="Cohesion index (5 rpm) [-]"/>
    <tableColumn id="10" xr3:uid="{82C2D392-AD72-4A32-9BAF-54F4B957FB3A}" name="Volume flow through an orifice (d = 25 mm)[cm3/s]"/>
    <tableColumn id="18" xr3:uid="{7163C21C-DAED-4814-BAFD-10D0C9C4A3F9}" name="Volume flow through an orifice (d = 25 mm) deviation[cm3/s]"/>
    <tableColumn id="11" xr3:uid="{F32C3104-235E-4CB7-8DB9-1C076899CEA1}" name="Permeability (5kPa compression stress)[m2]" dataDxfId="39"/>
    <tableColumn id="12" xr3:uid="{D12525A8-874A-4107-BFE4-07399CF3D268}" name="Permeability (5kPa compression stress) deviation[m2]" dataDxfId="13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FF7A6B-BE8F-41B4-9BBF-3753D45BCE3C}" name="Tabelle5" displayName="Tabelle5" ref="B7:V12" totalsRowShown="0">
  <autoFilter ref="B7:V12" xr:uid="{E5FF7A6B-BE8F-41B4-9BBF-3753D45BCE3C}"/>
  <tableColumns count="21">
    <tableColumn id="1" xr3:uid="{43E1F2BC-98F5-4A07-AB27-437CA23B336D}" name="Compression stress [kPa]"/>
    <tableColumn id="2" xr3:uid="{B9DD5949-EFC3-4D52-A9BD-8DE0FA6B4BEF}" name="MCC coarse" dataDxfId="38"/>
    <tableColumn id="12" xr3:uid="{43F5E7AF-3EDB-4E37-9E2C-DAFFFCAC2AA2}" name="MCC coarse deviation" dataDxfId="11"/>
    <tableColumn id="3" xr3:uid="{D164B273-B1BD-4D1E-80E0-B49059F638C6}" name="MCC fine" dataDxfId="37"/>
    <tableColumn id="13" xr3:uid="{05465F0B-AACD-49BD-B7E2-7360C9FBE5C2}" name="MCC fine deviation" dataDxfId="10"/>
    <tableColumn id="4" xr3:uid="{5F5C2EFF-721C-40A2-B741-745FEFE98F82}" name="Lactose-Anhydrate" dataDxfId="36"/>
    <tableColumn id="14" xr3:uid="{BEB7AAD2-8522-4472-9136-E9265BB69B3D}" name="Lactose-Anhydrate deviation" dataDxfId="9"/>
    <tableColumn id="5" xr3:uid="{257AB234-2044-4EDF-815A-6EF950CB4B88}" name="DCP" dataDxfId="35"/>
    <tableColumn id="15" xr3:uid="{13B00093-1EEE-4682-83F2-B1F17402004F}" name="DCP deviation" dataDxfId="8"/>
    <tableColumn id="6" xr3:uid="{50726202-B3FB-4659-A292-A21331F025BB}" name="TCC" dataDxfId="34"/>
    <tableColumn id="16" xr3:uid="{5E147436-8A3C-4AC4-ABEA-2CB0BA534A61}" name="TCC deviation" dataDxfId="7"/>
    <tableColumn id="7" xr3:uid="{76360B4D-61ED-47BE-93FA-33C2FC8F138C}" name="Powdered Cellulose (Arbocel P290)" dataDxfId="33"/>
    <tableColumn id="17" xr3:uid="{7853EBBB-DCF8-4422-AA12-55AC3A993D7C}" name="Powdered Cellulose (Arbocel P290) deviation" dataDxfId="6"/>
    <tableColumn id="8" xr3:uid="{5F781B2D-05CD-4C1E-A3D1-FB8ED65AE4E4}" name="MCC finest (Vivapur 120)" dataDxfId="32"/>
    <tableColumn id="18" xr3:uid="{792691C9-46B1-4150-81E7-85135D28B78B}" name="MCC finest (Vivapur 120) deviation" dataDxfId="5"/>
    <tableColumn id="11" xr3:uid="{61F08441-78E0-49D9-988A-BED01192CAA8}" name="MCC finest + Pellets (10%Cellets700 10%Vivapur101 80%Vivapur102)" dataDxfId="31"/>
    <tableColumn id="19" xr3:uid="{627C9652-4938-4124-855E-F22F4F9BCC41}" name="MCC finest + Pellets (10%Cellets700 10%Vivapur101 80%Vivapur102) deviation" dataDxfId="4"/>
    <tableColumn id="9" xr3:uid="{5B396794-796C-4BE2-A195-F62505C12123}" name="HPMC (60% Tylopur 90SH 40% Vivapur120)" dataDxfId="30"/>
    <tableColumn id="20" xr3:uid="{3E170B8C-1D88-4AE8-B876-D4782CEB19DC}" name="HPMC (60% Tylopur 90SH 40% Vivapur120) deviation" dataDxfId="3"/>
    <tableColumn id="10" xr3:uid="{4D637342-EA34-4D07-8288-9F7000BBF8DE}" name="CaCO3(50% MagGranCC 39% TCC 10% MCC Vivapur 120 1% MgSt)" dataDxfId="29"/>
    <tableColumn id="21" xr3:uid="{1DD64846-A48B-458A-B84E-31828E48F8C2}" name="CaCO3(50% MagGranCC 39% TCC 10% MCC Vivapur 120 1% MgSt) deviation" dataDxfId="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F8C2F6-39F5-464C-BA92-918695A88422}" name="Tabelle6" displayName="Tabelle6" ref="X7:AH11" totalsRowShown="0" headerRowDxfId="28">
  <autoFilter ref="X7:AH11" xr:uid="{B6F8C2F6-39F5-464C-BA92-918695A88422}"/>
  <tableColumns count="11">
    <tableColumn id="1" xr3:uid="{D9159C38-54A9-43A5-9846-99FFE424BB2E}" name="Pre shear normal stress [kPa]" dataDxfId="27"/>
    <tableColumn id="2" xr3:uid="{845EA8E9-76F7-4677-BB55-524C1422C836}" name="MCC coarse" dataDxfId="26"/>
    <tableColumn id="3" xr3:uid="{CFDB5EB8-AB0C-4D28-9C55-37F32299D35C}" name="MCC fine" dataDxfId="25"/>
    <tableColumn id="4" xr3:uid="{42B2F823-71DD-4B42-A55A-27514EE75480}" name="Lactose-Anhydrate" dataDxfId="24"/>
    <tableColumn id="5" xr3:uid="{FF554582-978C-4839-A5B6-1D613CA64E92}" name="DCP" dataDxfId="23"/>
    <tableColumn id="6" xr3:uid="{B8C3F85C-B970-4A5A-8752-766E6F29F0F5}" name="TCC" dataDxfId="22"/>
    <tableColumn id="7" xr3:uid="{1E6B034B-BDEA-4959-9540-98B556D9DF0A}" name="Powdered Cellulose (Arbocel P290)" dataDxfId="21"/>
    <tableColumn id="8" xr3:uid="{0508661E-5692-4F23-BD1F-DF06B4B8B37B}" name="MCC finest (Vivapur 120)" dataDxfId="20"/>
    <tableColumn id="11" xr3:uid="{1FEEC1B8-C7D8-4AEA-B239-7BA5978A95A0}" name="MCC finest + Pellets (10%Cellets700 10%Vivapur101 80%Vivapur102)" dataDxfId="19"/>
    <tableColumn id="9" xr3:uid="{86A16D85-68C9-4D6C-8D23-6AD66CA7EC2F}" name="HPMC (60% Tylopur 90SH 40% Vivapur120)" dataDxfId="18"/>
    <tableColumn id="10" xr3:uid="{E4C15FF1-8C14-4777-9B3E-05BB5E8F6219}" name="CaCO3(50% MagGranCC 39% TCC 10% MCC Vivapur 120 1% MgSt)" dataDxfId="1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398CA2-70F5-4929-B229-09BE8E06721E}" name="Tabelle7" displayName="Tabelle7" ref="AJ7:AT17" totalsRowShown="0" headerRowDxfId="16">
  <autoFilter ref="AJ7:AT17" xr:uid="{5D398CA2-70F5-4929-B229-09BE8E06721E}"/>
  <tableColumns count="11">
    <tableColumn id="1" xr3:uid="{64EA28AF-60EA-489B-B4EE-28A8C4A7E95B}" name="Rotational speed"/>
    <tableColumn id="2" xr3:uid="{842A7110-F0B0-4615-8783-DC5C7D348F30}" name="MCC coarse"/>
    <tableColumn id="3" xr3:uid="{4C632244-5B6D-46F4-9853-99E4D14F1D7F}" name="MCC fine"/>
    <tableColumn id="4" xr3:uid="{16A1BD83-9BD2-4C1A-B678-749ADDBAECB6}" name="Lactose-Anhydrate"/>
    <tableColumn id="5" xr3:uid="{B30DB20F-78A7-4D7D-BF7E-39F7F7DE6823}" name="DCP"/>
    <tableColumn id="6" xr3:uid="{5748A843-AE1A-4A0D-97F7-C2FCC2769223}" name="TCC"/>
    <tableColumn id="7" xr3:uid="{D87294CA-C573-4B3A-BD5E-7FD45367DB59}" name="Powdered Cellulose (Arbocel P290)"/>
    <tableColumn id="8" xr3:uid="{FC408798-1166-463D-B29C-7E8B0EAB0B83}" name="MCC finest (Vivapur 120)"/>
    <tableColumn id="11" xr3:uid="{68C80E74-D9B2-4943-8821-1C41103DC218}" name="MCC finest + Pellets (10%Cellets700 10%Vivapur101 80%Vivapur102)"/>
    <tableColumn id="9" xr3:uid="{63A9AB3B-E59A-4BA8-8E2B-CAAF5113D1FD}" name="HPMC (60% Tylopur 90SH 40% Vivapur120)"/>
    <tableColumn id="10" xr3:uid="{6CA54E7C-C1FF-4647-BD62-56970C96DB9D}" name="CaCO3(50% MagGranCC 39% TCC 10% MCC Vivapur 120 1% MgSt)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744A8F1-A498-4CED-A847-9C8BE357DBC0}" name="Tabelle8" displayName="Tabelle8" ref="AV7:BF17" totalsRowShown="0" headerRowDxfId="15" tableBorderDxfId="14">
  <autoFilter ref="AV7:BF17" xr:uid="{D744A8F1-A498-4CED-A847-9C8BE357DBC0}"/>
  <tableColumns count="11">
    <tableColumn id="1" xr3:uid="{F4F7A857-4C2E-4FE2-8297-F7554DB7B899}" name="Rotational speed"/>
    <tableColumn id="2" xr3:uid="{CFC710F8-0654-4048-A178-586F78B5184D}" name="MCC coarse"/>
    <tableColumn id="3" xr3:uid="{2D66F5A2-F19D-461E-BE5A-6156685E98AD}" name="MCC fine"/>
    <tableColumn id="4" xr3:uid="{0F33671A-A08E-4F7F-9465-351F3AB866C6}" name="Lactose-Anhydrate"/>
    <tableColumn id="5" xr3:uid="{C0CDE13D-067E-4984-B741-0330F4CB0F48}" name="DCP"/>
    <tableColumn id="6" xr3:uid="{949A44CC-C825-493B-AFF8-35C456E5B1A2}" name="TCC"/>
    <tableColumn id="7" xr3:uid="{67204B84-8C50-4C75-A3BF-E33EDB23DC18}" name="Powdered Cellulose (Arbocel P290)"/>
    <tableColumn id="8" xr3:uid="{3FBE84A5-C84A-4512-B584-46404B7025C1}" name="MCC finest (Vivapur 120)"/>
    <tableColumn id="11" xr3:uid="{FEC80391-A92D-4E64-91BA-436CC8C2D6C3}" name="MCC finest + Pellets (10%Cellets700 10%Vivapur101 80%Vivapur102)"/>
    <tableColumn id="9" xr3:uid="{7E793DAD-D3F0-4964-853E-F2300012E0D2}" name="HPMC (60% Tylopur 90SH 40% Vivapur120)"/>
    <tableColumn id="10" xr3:uid="{EA351C6C-914D-4ABC-8013-08E2DA9681EB}" name="CaCO3(50% MagGranCC 39% TCC 10% MCC Vivapur 120 1% MgSt)" dataDxfId="1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135387-2060-4B52-8631-29C1FDCE0851}" name="Tabelle9" displayName="Tabelle9" ref="BH7:CB13" totalsRowShown="0" headerRowDxfId="0">
  <autoFilter ref="BH7:CB13" xr:uid="{E4135387-2060-4B52-8631-29C1FDCE0851}"/>
  <tableColumns count="21">
    <tableColumn id="1" xr3:uid="{932E0D84-4390-4D97-A358-E20255E21149}" name="Orifice diameter"/>
    <tableColumn id="2" xr3:uid="{6CF34D75-5C27-41D6-8F5D-705C649F19A5}" name="MCC coarse"/>
    <tableColumn id="12" xr3:uid="{F47ABE37-AFC6-4278-A200-0FA6693DDBA7}" name="MCC coarse deviation"/>
    <tableColumn id="3" xr3:uid="{83DECDCE-82A5-438E-A5D8-BA16BB310967}" name="MCC fine"/>
    <tableColumn id="13" xr3:uid="{E309BDD1-3919-4077-8251-B16192FAFB91}" name="MCC fine deviation"/>
    <tableColumn id="4" xr3:uid="{01AD7124-E369-4B25-92F0-49751B22F21E}" name="Lactose-Anhydrate"/>
    <tableColumn id="14" xr3:uid="{DFE9739F-8DFB-41D4-8708-A6AA169F08BC}" name="Lactose-Anhydrate deviation"/>
    <tableColumn id="5" xr3:uid="{42478509-663A-4F7E-9336-A1C7DA86846A}" name="DCP"/>
    <tableColumn id="15" xr3:uid="{6B73BBBE-B9ED-45BD-B2A6-2AB982330E57}" name="DCP deviation"/>
    <tableColumn id="6" xr3:uid="{608C7EC2-1A84-40C1-B5EA-A96278089F4E}" name="TCC"/>
    <tableColumn id="16" xr3:uid="{C4D81350-A7B4-483D-ACDA-36048672D25A}" name="TCC deviation"/>
    <tableColumn id="7" xr3:uid="{392F9163-58D9-4C79-A8B0-7D520D209F6E}" name="Powdered Cellulose (Arbocel P290)"/>
    <tableColumn id="17" xr3:uid="{AFB067B9-4C6C-4534-8B63-A2B7404CBC65}" name="Powdered Cellulose (Arbocel P290) deviation"/>
    <tableColumn id="8" xr3:uid="{EC385D1D-F626-4997-A40F-58B012236CBD}" name="MCC finest (Vivapur 120)"/>
    <tableColumn id="18" xr3:uid="{697249BD-BE73-4AF0-9FAC-7BE2ABD96C84}" name="MCC finest (Vivapur 120) deviation"/>
    <tableColumn id="11" xr3:uid="{7ABC074F-FA4D-422D-928C-9B044B9EEA7D}" name="MCC finest + Pellets (10%Cellets700 10%Vivapur101 80%Vivapur102)"/>
    <tableColumn id="19" xr3:uid="{23C47149-0526-49D2-9EF1-971D1AF261A1}" name="MCC finest + Pellets (10%Cellets700 10%Vivapur101 80%Vivapur102) deviation"/>
    <tableColumn id="9" xr3:uid="{350DB968-C964-4C7E-976B-0890153870F6}" name="HPMC (60% Tylopur 90SH 40% Vivapur120)"/>
    <tableColumn id="20" xr3:uid="{0A2F3F5E-AE33-492D-90D0-2DBCD50BC706}" name="HPMC (60% Tylopur 90SH 40% Vivapur120) deviation"/>
    <tableColumn id="10" xr3:uid="{68A350BC-956E-4745-8CA1-04342EF0F7B3}" name="CaCO3(50% MagGranCC 39% TCC 10% MCC Vivapur 120 1% MgSt)"/>
    <tableColumn id="21" xr3:uid="{6CD851CD-5C67-4187-A565-03867A642405}" name="CaCO3(50% MagGranCC 39% TCC 10% MCC Vivapur 120 1% MgSt) devi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png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T20"/>
  <sheetViews>
    <sheetView tabSelected="1" topLeftCell="L1" zoomScale="85" zoomScaleNormal="85" workbookViewId="0">
      <selection activeCell="N47" sqref="N47"/>
    </sheetView>
  </sheetViews>
  <sheetFormatPr baseColWidth="10" defaultColWidth="9.140625" defaultRowHeight="15" x14ac:dyDescent="0.25"/>
  <cols>
    <col min="2" max="2" width="63.5703125" bestFit="1" customWidth="1"/>
    <col min="3" max="3" width="21" customWidth="1"/>
    <col min="4" max="4" width="30.28515625" bestFit="1" customWidth="1"/>
    <col min="5" max="5" width="23.7109375" customWidth="1"/>
    <col min="6" max="6" width="34.5703125" bestFit="1" customWidth="1"/>
    <col min="7" max="8" width="17.5703125" customWidth="1"/>
    <col min="9" max="10" width="21.140625" customWidth="1"/>
    <col min="11" max="11" width="54.42578125" customWidth="1"/>
    <col min="12" max="13" width="24.7109375" customWidth="1"/>
    <col min="14" max="14" width="34.28515625" customWidth="1"/>
    <col min="15" max="15" width="26.28515625" customWidth="1"/>
    <col min="16" max="17" width="47.85546875" customWidth="1"/>
    <col min="18" max="18" width="41.7109375" customWidth="1"/>
    <col min="19" max="19" width="43.140625" customWidth="1"/>
  </cols>
  <sheetData>
    <row r="4" spans="2:20" x14ac:dyDescent="0.25">
      <c r="K4" s="20" t="s">
        <v>10</v>
      </c>
      <c r="L4" s="20"/>
      <c r="M4" s="20"/>
      <c r="N4" s="20"/>
      <c r="O4" s="20"/>
      <c r="P4" s="20"/>
      <c r="Q4" s="19"/>
      <c r="R4" s="3"/>
      <c r="S4" s="3"/>
      <c r="T4" s="3"/>
    </row>
    <row r="5" spans="2:20" ht="30" x14ac:dyDescent="0.25">
      <c r="B5" t="s">
        <v>29</v>
      </c>
      <c r="C5" t="s">
        <v>6</v>
      </c>
      <c r="D5" t="s">
        <v>51</v>
      </c>
      <c r="E5" t="s">
        <v>7</v>
      </c>
      <c r="F5" t="s">
        <v>52</v>
      </c>
      <c r="G5" t="s">
        <v>8</v>
      </c>
      <c r="H5" t="s">
        <v>53</v>
      </c>
      <c r="I5" t="s">
        <v>9</v>
      </c>
      <c r="J5" t="s">
        <v>50</v>
      </c>
      <c r="K5" s="2" t="s">
        <v>35</v>
      </c>
      <c r="L5" s="2" t="s">
        <v>11</v>
      </c>
      <c r="M5" s="2" t="s">
        <v>56</v>
      </c>
      <c r="N5" s="2" t="s">
        <v>12</v>
      </c>
      <c r="O5" s="2" t="s">
        <v>13</v>
      </c>
      <c r="P5" s="2" t="s">
        <v>14</v>
      </c>
      <c r="Q5" s="2" t="s">
        <v>55</v>
      </c>
      <c r="R5" s="2" t="s">
        <v>15</v>
      </c>
      <c r="S5" s="2" t="s">
        <v>54</v>
      </c>
    </row>
    <row r="6" spans="2:20" x14ac:dyDescent="0.25">
      <c r="B6" s="1" t="s">
        <v>0</v>
      </c>
    </row>
    <row r="7" spans="2:20" x14ac:dyDescent="0.25">
      <c r="B7" t="s">
        <v>1</v>
      </c>
      <c r="C7">
        <v>0.73676666666666657</v>
      </c>
      <c r="D7">
        <v>6.6515662315978774E-3</v>
      </c>
      <c r="E7">
        <v>0.8533976833976834</v>
      </c>
      <c r="F7">
        <v>1.2887553011952314E-2</v>
      </c>
      <c r="G7">
        <f>E7/C7</f>
        <v>1.1583011583011584</v>
      </c>
      <c r="H7">
        <v>7.7165232449830498E-3</v>
      </c>
      <c r="I7">
        <v>2.809366666666667</v>
      </c>
      <c r="K7">
        <v>33.084000000000003</v>
      </c>
      <c r="L7" s="4">
        <v>39.1</v>
      </c>
      <c r="M7" s="4">
        <v>0.26457513110646014</v>
      </c>
      <c r="N7">
        <v>46.33</v>
      </c>
      <c r="O7">
        <v>11.32</v>
      </c>
      <c r="P7">
        <v>145.42304999999999</v>
      </c>
      <c r="Q7">
        <v>8.7069669153452178</v>
      </c>
      <c r="R7" s="5">
        <v>4.0222999999999999E-12</v>
      </c>
      <c r="S7" s="5">
        <v>6.1847150298134131E-14</v>
      </c>
    </row>
    <row r="8" spans="2:20" x14ac:dyDescent="0.25">
      <c r="B8" t="s">
        <v>2</v>
      </c>
      <c r="C8">
        <v>0.61180000000000001</v>
      </c>
      <c r="D8">
        <v>6.668583057891718E-3</v>
      </c>
      <c r="E8">
        <v>0.69</v>
      </c>
      <c r="F8">
        <v>3.0398643729496809E-3</v>
      </c>
      <c r="G8">
        <f t="shared" ref="G8:G11" si="0">E8/C8</f>
        <v>1.1278195488721803</v>
      </c>
      <c r="H8">
        <v>7.3716837230544778E-3</v>
      </c>
      <c r="I8">
        <v>1.9515666666666667</v>
      </c>
      <c r="K8">
        <v>16.535</v>
      </c>
      <c r="L8" s="4">
        <v>42.6</v>
      </c>
      <c r="M8" s="4">
        <v>1.3453624047073713</v>
      </c>
      <c r="N8">
        <v>47.04</v>
      </c>
      <c r="O8">
        <v>18.670000000000002</v>
      </c>
      <c r="P8">
        <v>67.196977952126687</v>
      </c>
      <c r="Q8">
        <v>1.5728186476779555</v>
      </c>
      <c r="R8" s="5">
        <v>1.9459666666666668E-12</v>
      </c>
      <c r="S8" s="5">
        <v>1.3261765845215836E-13</v>
      </c>
    </row>
    <row r="9" spans="2:20" x14ac:dyDescent="0.25">
      <c r="B9" t="s">
        <v>3</v>
      </c>
      <c r="C9">
        <v>0.74199999999999999</v>
      </c>
      <c r="D9">
        <v>1.3453624047073722E-2</v>
      </c>
      <c r="E9">
        <v>0.92365145228215773</v>
      </c>
      <c r="F9">
        <v>5.214424060679985E-3</v>
      </c>
      <c r="G9">
        <f>E9/C9</f>
        <v>1.2448132780082988</v>
      </c>
      <c r="H9">
        <v>1.8045015445839307E-2</v>
      </c>
      <c r="I9">
        <v>1.5731666666666666</v>
      </c>
      <c r="K9">
        <v>6.55</v>
      </c>
      <c r="L9" s="4">
        <v>48.1</v>
      </c>
      <c r="M9" s="4">
        <v>0.10000000000000142</v>
      </c>
      <c r="N9">
        <v>55.05</v>
      </c>
      <c r="O9">
        <v>28.2</v>
      </c>
      <c r="P9">
        <v>20.578569545326058</v>
      </c>
      <c r="Q9">
        <v>4.4587411750527846</v>
      </c>
      <c r="R9" s="5">
        <v>5.8152000000000003E-13</v>
      </c>
      <c r="S9" s="5">
        <v>2.4859281968713455E-14</v>
      </c>
    </row>
    <row r="10" spans="2:20" x14ac:dyDescent="0.25">
      <c r="B10" t="s">
        <v>4</v>
      </c>
      <c r="C10">
        <v>0.39506666666666668</v>
      </c>
      <c r="D10">
        <v>3.0105370506495056E-3</v>
      </c>
      <c r="E10">
        <v>0.49798319327731094</v>
      </c>
      <c r="F10">
        <v>4.4951563480470713E-3</v>
      </c>
      <c r="G10">
        <f>E10/C10</f>
        <v>1.2605042016806722</v>
      </c>
      <c r="H10">
        <v>9.1352890694561522E-3</v>
      </c>
      <c r="I10">
        <v>1.5459666666666667</v>
      </c>
      <c r="K10">
        <v>9.3480000000000008</v>
      </c>
      <c r="L10" s="4">
        <v>43.133333333333333</v>
      </c>
      <c r="M10" s="4">
        <v>0.55075705472861092</v>
      </c>
      <c r="N10">
        <v>49.13</v>
      </c>
      <c r="O10">
        <v>14.85</v>
      </c>
      <c r="P10">
        <v>82.92521686885506</v>
      </c>
      <c r="Q10">
        <v>12.947839874963451</v>
      </c>
      <c r="R10" s="5">
        <v>3.6685999999999999E-12</v>
      </c>
      <c r="S10" s="5">
        <v>6.9808094086574238E-14</v>
      </c>
    </row>
    <row r="11" spans="2:20" x14ac:dyDescent="0.25">
      <c r="B11" t="s">
        <v>5</v>
      </c>
      <c r="C11">
        <v>0.40029999999999999</v>
      </c>
      <c r="D11">
        <v>4.0509258201057883E-3</v>
      </c>
      <c r="E11">
        <v>0.53373333333333339</v>
      </c>
      <c r="F11">
        <v>5.4012344268077727E-3</v>
      </c>
      <c r="G11">
        <f t="shared" si="0"/>
        <v>1.3333333333333335</v>
      </c>
      <c r="H11">
        <v>0</v>
      </c>
      <c r="I11">
        <v>1.5435999999999999</v>
      </c>
      <c r="K11">
        <v>5.5990000000000002</v>
      </c>
      <c r="L11" s="4">
        <v>45.233333333333327</v>
      </c>
      <c r="M11" s="4">
        <v>1.5821925715074432</v>
      </c>
      <c r="N11">
        <v>56.31</v>
      </c>
      <c r="O11">
        <v>27.68</v>
      </c>
      <c r="P11">
        <v>29.728499053996529</v>
      </c>
      <c r="Q11">
        <v>3.1471504126690548</v>
      </c>
      <c r="R11" s="5">
        <v>2.0557000000000002E-12</v>
      </c>
      <c r="S11" s="5">
        <v>7.4156523650990976E-14</v>
      </c>
    </row>
    <row r="12" spans="2:20" x14ac:dyDescent="0.25">
      <c r="B12" t="s">
        <v>45</v>
      </c>
      <c r="C12">
        <v>0.33610370370370374</v>
      </c>
      <c r="D12">
        <v>4.3411515416786495E-3</v>
      </c>
      <c r="E12">
        <v>0.48555439857102262</v>
      </c>
      <c r="F12">
        <v>1.0090481798747041E-2</v>
      </c>
      <c r="G12">
        <v>1.4445763812771484</v>
      </c>
      <c r="H12">
        <v>1.4248928542355634E-2</v>
      </c>
      <c r="K12">
        <v>4.63</v>
      </c>
      <c r="L12" s="4">
        <v>45.366666666666667</v>
      </c>
      <c r="M12" s="4">
        <v>0.95043849529221613</v>
      </c>
      <c r="N12">
        <v>65.354457345191264</v>
      </c>
      <c r="O12">
        <v>30.072683705902634</v>
      </c>
      <c r="P12">
        <v>41.467468719146929</v>
      </c>
      <c r="Q12">
        <v>2.9448619251084436</v>
      </c>
      <c r="R12" s="5">
        <v>2.9979999999999999E-12</v>
      </c>
      <c r="S12" s="5">
        <v>1.992047439194157E-13</v>
      </c>
    </row>
    <row r="13" spans="2:20" x14ac:dyDescent="0.25">
      <c r="B13" t="s">
        <v>46</v>
      </c>
      <c r="C13">
        <v>0.32895709570957093</v>
      </c>
      <c r="D13">
        <v>4.1533926914346765E-3</v>
      </c>
      <c r="E13">
        <v>0.44803899790201157</v>
      </c>
      <c r="F13">
        <v>5.448488031413401E-3</v>
      </c>
      <c r="G13">
        <v>1.3620264099716153</v>
      </c>
      <c r="H13">
        <v>9.5766920359105917E-3</v>
      </c>
      <c r="K13">
        <v>5.68</v>
      </c>
      <c r="L13" s="4">
        <v>39.93333333333333</v>
      </c>
      <c r="M13" s="4">
        <v>0.4725815626252608</v>
      </c>
      <c r="N13">
        <v>54.967237554964214</v>
      </c>
      <c r="O13">
        <v>24.506876992087545</v>
      </c>
      <c r="P13">
        <v>55.72425688503867</v>
      </c>
      <c r="Q13">
        <v>3.5602917855636456</v>
      </c>
      <c r="R13" s="5">
        <v>3.4867000000000001E-12</v>
      </c>
      <c r="S13" s="5">
        <v>5.5788884197481487E-13</v>
      </c>
    </row>
    <row r="14" spans="2:20" x14ac:dyDescent="0.25">
      <c r="B14" t="s">
        <v>49</v>
      </c>
      <c r="C14">
        <v>0.36906666666666665</v>
      </c>
      <c r="D14">
        <v>4.3189504897988033E-3</v>
      </c>
      <c r="E14">
        <v>0.4942810810810811</v>
      </c>
      <c r="F14">
        <v>3.4523820246819418E-3</v>
      </c>
      <c r="G14">
        <v>1.3393393393393394</v>
      </c>
      <c r="H14">
        <v>1.0402707552966252E-2</v>
      </c>
      <c r="K14">
        <v>6.57</v>
      </c>
      <c r="L14" s="4">
        <v>39.666666666666664</v>
      </c>
      <c r="M14" s="4">
        <v>0.90184995056458095</v>
      </c>
      <c r="N14">
        <v>59.659638518305471</v>
      </c>
      <c r="O14">
        <v>26.841266993418234</v>
      </c>
      <c r="P14">
        <v>45.620770087020325</v>
      </c>
      <c r="Q14">
        <v>5.770808906703901</v>
      </c>
      <c r="R14" s="5">
        <v>3.3538333333333333E-12</v>
      </c>
      <c r="S14" s="5">
        <v>3.0884242476274741E-13</v>
      </c>
    </row>
    <row r="15" spans="2:20" x14ac:dyDescent="0.25">
      <c r="B15" t="s">
        <v>47</v>
      </c>
      <c r="C15">
        <v>0.33159999999999995</v>
      </c>
      <c r="D15">
        <v>2.5865034312755066E-3</v>
      </c>
      <c r="E15">
        <v>0.4460996996996997</v>
      </c>
      <c r="F15">
        <v>1.2328463734183172E-3</v>
      </c>
      <c r="G15">
        <v>1.3453453453453452</v>
      </c>
      <c r="H15">
        <v>1.0402707552966252E-2</v>
      </c>
      <c r="K15">
        <v>6.35</v>
      </c>
      <c r="L15" s="4">
        <v>42.300000000000004</v>
      </c>
      <c r="M15" s="4">
        <v>1.9467922333931793</v>
      </c>
      <c r="N15">
        <v>57.533894247929872</v>
      </c>
      <c r="O15">
        <v>25.743770688892265</v>
      </c>
      <c r="P15">
        <v>32.303576740747594</v>
      </c>
      <c r="Q15">
        <v>4.1010325576048254</v>
      </c>
      <c r="R15" s="5">
        <v>3.0299333333333334E-12</v>
      </c>
      <c r="S15" s="5">
        <v>2.9860094328942307E-13</v>
      </c>
    </row>
    <row r="16" spans="2:20" x14ac:dyDescent="0.25">
      <c r="B16" t="s">
        <v>48</v>
      </c>
      <c r="C16">
        <v>0.67673333333333341</v>
      </c>
      <c r="D16">
        <v>2.7024680078279657E-3</v>
      </c>
      <c r="E16">
        <v>0.86760683760683754</v>
      </c>
      <c r="F16">
        <v>3.4647025741384005E-3</v>
      </c>
      <c r="G16">
        <v>1.2820512820512822</v>
      </c>
      <c r="H16">
        <v>0</v>
      </c>
      <c r="K16">
        <v>7.03</v>
      </c>
      <c r="L16" s="4">
        <v>42</v>
      </c>
      <c r="M16" s="4">
        <v>0.65574385243020228</v>
      </c>
      <c r="N16">
        <v>56.943229582453448</v>
      </c>
      <c r="O16">
        <v>28.789583421355012</v>
      </c>
      <c r="P16">
        <v>43.486466151286187</v>
      </c>
      <c r="Q16">
        <v>1.2795670632225131</v>
      </c>
      <c r="R16" s="5">
        <v>9.2954333333333333E-13</v>
      </c>
      <c r="S16" s="5">
        <v>7.5091266395559544E-14</v>
      </c>
    </row>
    <row r="17" spans="9:15" x14ac:dyDescent="0.25">
      <c r="I17" s="27" t="s">
        <v>57</v>
      </c>
      <c r="J17" s="27"/>
      <c r="K17" s="20" t="s">
        <v>58</v>
      </c>
      <c r="O17" s="27" t="s">
        <v>59</v>
      </c>
    </row>
    <row r="18" spans="9:15" x14ac:dyDescent="0.25">
      <c r="I18" s="27"/>
      <c r="J18" s="27"/>
      <c r="K18" s="20"/>
      <c r="O18" s="27"/>
    </row>
    <row r="19" spans="9:15" x14ac:dyDescent="0.25">
      <c r="I19" s="27"/>
      <c r="J19" s="27"/>
      <c r="K19" s="20"/>
      <c r="O19" s="27"/>
    </row>
    <row r="20" spans="9:15" x14ac:dyDescent="0.25">
      <c r="I20" s="27"/>
      <c r="J20" s="27"/>
      <c r="K20" s="20"/>
      <c r="O20" s="27"/>
    </row>
  </sheetData>
  <mergeCells count="4">
    <mergeCell ref="K4:P4"/>
    <mergeCell ref="I17:J20"/>
    <mergeCell ref="K17:K20"/>
    <mergeCell ref="O17:O20"/>
  </mergeCells>
  <phoneticPr fontId="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2372-50B5-4CA6-BC21-8B3080BD46E7}">
  <dimension ref="A3:CB17"/>
  <sheetViews>
    <sheetView topLeftCell="BN1" zoomScale="70" zoomScaleNormal="70" workbookViewId="0">
      <selection activeCell="BT25" sqref="BT25"/>
    </sheetView>
  </sheetViews>
  <sheetFormatPr baseColWidth="10" defaultRowHeight="15" x14ac:dyDescent="0.25"/>
  <cols>
    <col min="1" max="1" width="22.42578125" bestFit="1" customWidth="1"/>
    <col min="2" max="2" width="25.28515625" customWidth="1"/>
    <col min="3" max="3" width="13.28515625" customWidth="1"/>
    <col min="4" max="4" width="30" bestFit="1" customWidth="1"/>
    <col min="6" max="6" width="26.28515625" bestFit="1" customWidth="1"/>
    <col min="7" max="8" width="19.7109375" customWidth="1"/>
    <col min="13" max="14" width="35.5703125" customWidth="1"/>
    <col min="15" max="16" width="18.7109375" customWidth="1"/>
    <col min="17" max="18" width="29.7109375" customWidth="1"/>
    <col min="19" max="20" width="19.42578125" customWidth="1"/>
    <col min="21" max="22" width="21.85546875" customWidth="1"/>
    <col min="24" max="24" width="28.7109375" customWidth="1"/>
    <col min="25" max="25" width="13.42578125" customWidth="1"/>
    <col min="27" max="27" width="19.7109375" customWidth="1"/>
    <col min="30" max="30" width="30" customWidth="1"/>
    <col min="31" max="32" width="23.140625" customWidth="1"/>
    <col min="33" max="33" width="23" customWidth="1"/>
    <col min="34" max="34" width="23.42578125" customWidth="1"/>
    <col min="36" max="36" width="27.42578125" customWidth="1"/>
    <col min="37" max="37" width="13.42578125" customWidth="1"/>
    <col min="39" max="39" width="19.7109375" customWidth="1"/>
    <col min="42" max="42" width="24.85546875" customWidth="1"/>
    <col min="43" max="45" width="22.42578125" customWidth="1"/>
    <col min="46" max="46" width="23.7109375" customWidth="1"/>
    <col min="48" max="48" width="18.140625" customWidth="1"/>
    <col min="49" max="49" width="13.42578125" customWidth="1"/>
    <col min="51" max="51" width="19.7109375" customWidth="1"/>
    <col min="54" max="54" width="23" customWidth="1"/>
    <col min="55" max="56" width="21.85546875" customWidth="1"/>
    <col min="57" max="57" width="20.42578125" customWidth="1"/>
    <col min="58" max="58" width="27.7109375" customWidth="1"/>
    <col min="60" max="60" width="35.5703125" customWidth="1"/>
    <col min="61" max="62" width="17" customWidth="1"/>
    <col min="63" max="64" width="13.42578125" customWidth="1"/>
    <col min="65" max="65" width="25.5703125" customWidth="1"/>
    <col min="66" max="66" width="38.7109375" bestFit="1" customWidth="1"/>
    <col min="67" max="67" width="14.85546875" bestFit="1" customWidth="1"/>
    <col min="68" max="68" width="21" bestFit="1" customWidth="1"/>
    <col min="69" max="69" width="14.85546875" bestFit="1" customWidth="1"/>
    <col min="70" max="70" width="20.7109375" bestFit="1" customWidth="1"/>
    <col min="71" max="71" width="23" customWidth="1"/>
    <col min="72" max="72" width="57.140625" bestFit="1" customWidth="1"/>
    <col min="73" max="73" width="17.5703125" customWidth="1"/>
    <col min="74" max="74" width="44.28515625" bestFit="1" customWidth="1"/>
    <col min="75" max="75" width="17.5703125" customWidth="1"/>
    <col min="76" max="76" width="94.85546875" bestFit="1" customWidth="1"/>
    <col min="77" max="77" width="17.7109375" customWidth="1"/>
    <col min="78" max="78" width="65.7109375" bestFit="1" customWidth="1"/>
    <col min="79" max="79" width="19.140625" customWidth="1"/>
    <col min="80" max="80" width="92.140625" bestFit="1" customWidth="1"/>
  </cols>
  <sheetData>
    <row r="3" spans="1:80" ht="81.75" x14ac:dyDescent="0.4">
      <c r="A3" s="12" t="s">
        <v>38</v>
      </c>
      <c r="X3" s="12" t="s">
        <v>39</v>
      </c>
      <c r="AJ3" s="14" t="s">
        <v>40</v>
      </c>
      <c r="AV3" s="12" t="s">
        <v>41</v>
      </c>
      <c r="BH3" s="14" t="s">
        <v>42</v>
      </c>
    </row>
    <row r="6" spans="1:80" x14ac:dyDescent="0.25"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spans="1:80" x14ac:dyDescent="0.25">
      <c r="B7" t="s">
        <v>30</v>
      </c>
      <c r="C7" t="s">
        <v>4</v>
      </c>
      <c r="D7" t="s">
        <v>60</v>
      </c>
      <c r="E7" t="s">
        <v>31</v>
      </c>
      <c r="F7" t="s">
        <v>61</v>
      </c>
      <c r="G7" t="s">
        <v>34</v>
      </c>
      <c r="H7" t="s">
        <v>62</v>
      </c>
      <c r="I7" t="s">
        <v>32</v>
      </c>
      <c r="J7" t="s">
        <v>63</v>
      </c>
      <c r="K7" t="s">
        <v>33</v>
      </c>
      <c r="L7" t="s">
        <v>64</v>
      </c>
      <c r="M7" t="s">
        <v>45</v>
      </c>
      <c r="N7" t="s">
        <v>65</v>
      </c>
      <c r="O7" t="s">
        <v>46</v>
      </c>
      <c r="P7" t="s">
        <v>66</v>
      </c>
      <c r="Q7" t="s">
        <v>49</v>
      </c>
      <c r="R7" t="s">
        <v>67</v>
      </c>
      <c r="S7" t="s">
        <v>47</v>
      </c>
      <c r="T7" t="s">
        <v>68</v>
      </c>
      <c r="U7" t="s">
        <v>48</v>
      </c>
      <c r="V7" t="s">
        <v>69</v>
      </c>
      <c r="X7" s="13" t="s">
        <v>36</v>
      </c>
      <c r="Y7" s="10" t="s">
        <v>4</v>
      </c>
      <c r="Z7" s="10" t="s">
        <v>31</v>
      </c>
      <c r="AA7" s="10" t="s">
        <v>34</v>
      </c>
      <c r="AB7" s="10" t="s">
        <v>32</v>
      </c>
      <c r="AC7" s="11" t="s">
        <v>33</v>
      </c>
      <c r="AD7" s="18" t="s">
        <v>45</v>
      </c>
      <c r="AE7" s="18" t="s">
        <v>46</v>
      </c>
      <c r="AF7" t="s">
        <v>49</v>
      </c>
      <c r="AG7" s="18" t="s">
        <v>47</v>
      </c>
      <c r="AH7" s="18" t="s">
        <v>48</v>
      </c>
      <c r="AI7" s="13"/>
      <c r="AJ7" s="13" t="s">
        <v>37</v>
      </c>
      <c r="AK7" s="10" t="s">
        <v>4</v>
      </c>
      <c r="AL7" s="10" t="s">
        <v>31</v>
      </c>
      <c r="AM7" s="10" t="s">
        <v>34</v>
      </c>
      <c r="AN7" s="10" t="s">
        <v>32</v>
      </c>
      <c r="AO7" s="11" t="s">
        <v>33</v>
      </c>
      <c r="AP7" s="18" t="s">
        <v>45</v>
      </c>
      <c r="AQ7" s="18" t="s">
        <v>46</v>
      </c>
      <c r="AR7" t="s">
        <v>49</v>
      </c>
      <c r="AS7" s="18" t="s">
        <v>47</v>
      </c>
      <c r="AT7" s="18" t="s">
        <v>48</v>
      </c>
      <c r="AV7" s="15" t="s">
        <v>37</v>
      </c>
      <c r="AW7" s="16" t="s">
        <v>4</v>
      </c>
      <c r="AX7" s="16" t="s">
        <v>31</v>
      </c>
      <c r="AY7" s="16" t="s">
        <v>34</v>
      </c>
      <c r="AZ7" s="16" t="s">
        <v>32</v>
      </c>
      <c r="BA7" s="17" t="s">
        <v>33</v>
      </c>
      <c r="BB7" s="18" t="s">
        <v>45</v>
      </c>
      <c r="BC7" s="18" t="s">
        <v>46</v>
      </c>
      <c r="BD7" t="s">
        <v>49</v>
      </c>
      <c r="BE7" s="18" t="s">
        <v>47</v>
      </c>
      <c r="BF7" s="18" t="s">
        <v>48</v>
      </c>
      <c r="BH7" t="s">
        <v>43</v>
      </c>
      <c r="BI7" s="10" t="s">
        <v>4</v>
      </c>
      <c r="BJ7" s="10" t="s">
        <v>60</v>
      </c>
      <c r="BK7" s="10" t="s">
        <v>31</v>
      </c>
      <c r="BL7" s="10" t="s">
        <v>61</v>
      </c>
      <c r="BM7" s="10" t="s">
        <v>34</v>
      </c>
      <c r="BN7" s="10" t="s">
        <v>62</v>
      </c>
      <c r="BO7" s="10" t="s">
        <v>32</v>
      </c>
      <c r="BP7" s="10" t="s">
        <v>63</v>
      </c>
      <c r="BQ7" s="11" t="s">
        <v>33</v>
      </c>
      <c r="BR7" s="11" t="s">
        <v>64</v>
      </c>
      <c r="BS7" s="18" t="s">
        <v>45</v>
      </c>
      <c r="BT7" s="18" t="s">
        <v>65</v>
      </c>
      <c r="BU7" s="18" t="s">
        <v>46</v>
      </c>
      <c r="BV7" s="18" t="s">
        <v>66</v>
      </c>
      <c r="BW7" t="s">
        <v>49</v>
      </c>
      <c r="BX7" t="s">
        <v>67</v>
      </c>
      <c r="BY7" s="18" t="s">
        <v>47</v>
      </c>
      <c r="BZ7" s="18" t="s">
        <v>68</v>
      </c>
      <c r="CA7" s="18" t="s">
        <v>48</v>
      </c>
      <c r="CB7" s="18" t="s">
        <v>69</v>
      </c>
    </row>
    <row r="8" spans="1:80" x14ac:dyDescent="0.25">
      <c r="B8">
        <v>1</v>
      </c>
      <c r="C8" s="5">
        <v>4.2514999999999998E-12</v>
      </c>
      <c r="D8" s="5">
        <v>5.0712561560228825E-13</v>
      </c>
      <c r="E8" s="5">
        <v>2.7689666666666668E-12</v>
      </c>
      <c r="F8" s="5">
        <v>1.389705844174707E-13</v>
      </c>
      <c r="G8" s="5">
        <v>1.1421766666666666E-12</v>
      </c>
      <c r="H8" s="5">
        <v>3.1861738595584097E-13</v>
      </c>
      <c r="I8" s="5">
        <v>4.4859666666666669E-12</v>
      </c>
      <c r="J8" s="5">
        <v>2.7443770392082295E-13</v>
      </c>
      <c r="K8" s="5">
        <v>2.3083000000000002E-12</v>
      </c>
      <c r="L8" s="5">
        <v>3.6998066165679522E-13</v>
      </c>
      <c r="M8" s="5">
        <v>4.8152999999999995E-12</v>
      </c>
      <c r="N8" s="5">
        <v>3.3755763952249707E-13</v>
      </c>
      <c r="O8" s="5">
        <v>4.7289333333333334E-12</v>
      </c>
      <c r="P8" s="5">
        <v>1.9583861553159853E-13</v>
      </c>
      <c r="Q8" s="5">
        <v>4.3578666666666671E-12</v>
      </c>
      <c r="R8" s="5">
        <v>1.8078031788149211E-13</v>
      </c>
      <c r="S8" s="5">
        <v>3.8050333333333332E-12</v>
      </c>
      <c r="T8" s="5">
        <v>5.0217038277195658E-13</v>
      </c>
      <c r="U8" s="5">
        <v>2.9267333333333332E-12</v>
      </c>
      <c r="V8" s="5">
        <v>1.1674132125725187E-12</v>
      </c>
      <c r="X8" s="13">
        <v>1</v>
      </c>
      <c r="Y8" s="13">
        <v>8.2470588235294109</v>
      </c>
      <c r="Z8" s="13">
        <v>4.3285420944558526</v>
      </c>
      <c r="AA8" s="13">
        <v>4.1735357917570495</v>
      </c>
      <c r="AB8" s="13">
        <v>18.428571428571427</v>
      </c>
      <c r="AC8" s="13">
        <v>8.2181818181818187</v>
      </c>
      <c r="AD8" s="13">
        <v>4.07</v>
      </c>
      <c r="AE8" s="13">
        <v>4.13</v>
      </c>
      <c r="AF8" s="13">
        <v>5.27</v>
      </c>
      <c r="AG8" s="13">
        <v>4.96</v>
      </c>
      <c r="AH8" s="13"/>
      <c r="AI8" s="13"/>
      <c r="AJ8" s="13">
        <v>2</v>
      </c>
      <c r="AK8">
        <v>46.4</v>
      </c>
      <c r="AL8">
        <v>60.71</v>
      </c>
      <c r="AM8">
        <v>54.07</v>
      </c>
      <c r="AN8">
        <v>41.65</v>
      </c>
      <c r="AO8">
        <v>45.33</v>
      </c>
      <c r="AP8">
        <v>62.138024309662562</v>
      </c>
      <c r="AQ8">
        <v>59.358410077690962</v>
      </c>
      <c r="AR8">
        <v>57.192643996642204</v>
      </c>
      <c r="AS8">
        <v>61.060361571106569</v>
      </c>
      <c r="AT8">
        <v>64.763508538812758</v>
      </c>
      <c r="AV8">
        <v>2</v>
      </c>
      <c r="AW8">
        <v>11.3</v>
      </c>
      <c r="AX8">
        <v>25.61</v>
      </c>
      <c r="AZ8">
        <v>8.9700000000000006</v>
      </c>
      <c r="BA8">
        <v>15.12</v>
      </c>
      <c r="BB8">
        <v>32.395258144741497</v>
      </c>
      <c r="BC8">
        <v>20.793722862570498</v>
      </c>
      <c r="BD8">
        <v>21.318609640130759</v>
      </c>
      <c r="BE8">
        <v>23.41595350754644</v>
      </c>
      <c r="BF8" s="28">
        <v>26.108031315572116</v>
      </c>
      <c r="BH8">
        <v>25</v>
      </c>
      <c r="BI8">
        <v>82.92521686885506</v>
      </c>
      <c r="BJ8">
        <v>12.947839874963451</v>
      </c>
      <c r="BK8">
        <v>29.728499053996529</v>
      </c>
      <c r="BL8">
        <v>3.1471504126690548</v>
      </c>
      <c r="BM8">
        <v>20.578569545326058</v>
      </c>
      <c r="BN8">
        <v>4.4587411750527846</v>
      </c>
      <c r="BO8">
        <v>145.78212107959203</v>
      </c>
      <c r="BP8">
        <v>8.7069669153452178</v>
      </c>
      <c r="BQ8">
        <v>67.196977952126687</v>
      </c>
      <c r="BR8">
        <v>1.5728186476779555</v>
      </c>
      <c r="BS8">
        <v>41.467468719146929</v>
      </c>
      <c r="BT8">
        <v>2.9448619251084436</v>
      </c>
      <c r="BU8">
        <v>55.72425688503867</v>
      </c>
      <c r="BV8">
        <v>3.5602917855636456</v>
      </c>
      <c r="BW8">
        <v>45.620770087020325</v>
      </c>
      <c r="BX8">
        <v>5.770808906703901</v>
      </c>
      <c r="BY8">
        <v>32.303576740747594</v>
      </c>
      <c r="BZ8">
        <v>4.1010325576048254</v>
      </c>
      <c r="CA8">
        <v>43.486466151286187</v>
      </c>
      <c r="CB8">
        <v>1.2795670632225131</v>
      </c>
    </row>
    <row r="9" spans="1:80" x14ac:dyDescent="0.25">
      <c r="B9">
        <v>5</v>
      </c>
      <c r="C9" s="5">
        <v>3.6685999999999999E-12</v>
      </c>
      <c r="D9" s="5">
        <v>6.9808094086574238E-14</v>
      </c>
      <c r="E9" s="5">
        <v>2.0557000000000002E-12</v>
      </c>
      <c r="F9" s="5">
        <v>7.4156523650990976E-14</v>
      </c>
      <c r="G9" s="5">
        <v>5.8152000000000003E-13</v>
      </c>
      <c r="H9" s="5">
        <v>2.4859281968713455E-14</v>
      </c>
      <c r="I9" s="5">
        <v>4.0222999999999999E-12</v>
      </c>
      <c r="J9" s="5">
        <v>6.1847150298134131E-14</v>
      </c>
      <c r="K9" s="5">
        <v>1.9459666666666668E-12</v>
      </c>
      <c r="L9" s="5">
        <v>1.3261765845215836E-13</v>
      </c>
      <c r="M9" s="5">
        <v>2.9979999999999999E-12</v>
      </c>
      <c r="N9" s="5">
        <v>1.992047439194157E-13</v>
      </c>
      <c r="O9" s="5">
        <v>3.4867000000000001E-12</v>
      </c>
      <c r="P9" s="5">
        <v>5.5788884197481487E-13</v>
      </c>
      <c r="Q9" s="5">
        <v>3.3538333333333333E-12</v>
      </c>
      <c r="R9" s="5">
        <v>3.0884242476274741E-13</v>
      </c>
      <c r="S9" s="5">
        <v>3.0299333333333334E-12</v>
      </c>
      <c r="T9" s="5">
        <v>2.9860094328942307E-13</v>
      </c>
      <c r="U9" s="5">
        <v>9.2954333333333333E-13</v>
      </c>
      <c r="V9" s="5">
        <v>7.5091266395559544E-14</v>
      </c>
      <c r="X9" s="13">
        <v>2</v>
      </c>
      <c r="Y9" s="13">
        <v>8.0320150659133702</v>
      </c>
      <c r="Z9" s="13">
        <v>5.4704336399474371</v>
      </c>
      <c r="AA9" s="13">
        <v>5.2489740082079344</v>
      </c>
      <c r="AB9" s="13">
        <v>29.918518518518518</v>
      </c>
      <c r="AC9" s="13">
        <v>12.822695035460994</v>
      </c>
      <c r="AD9" s="13">
        <v>4.58</v>
      </c>
      <c r="AE9" s="13">
        <v>5.2</v>
      </c>
      <c r="AF9" s="13">
        <v>6.06</v>
      </c>
      <c r="AG9" s="13">
        <v>6.33</v>
      </c>
      <c r="AH9" s="13">
        <v>5.41</v>
      </c>
      <c r="AI9" s="13"/>
      <c r="AJ9" s="13">
        <v>5</v>
      </c>
      <c r="AK9">
        <v>49.13</v>
      </c>
      <c r="AL9">
        <v>56.31</v>
      </c>
      <c r="AM9">
        <v>55.05</v>
      </c>
      <c r="AN9">
        <v>46.33</v>
      </c>
      <c r="AO9">
        <v>47.04</v>
      </c>
      <c r="AP9">
        <v>65.354457345191264</v>
      </c>
      <c r="AQ9">
        <v>54.967237554964214</v>
      </c>
      <c r="AR9">
        <v>59.659638518305471</v>
      </c>
      <c r="AS9">
        <v>57.533894247929872</v>
      </c>
      <c r="AT9">
        <v>56.943229582453448</v>
      </c>
      <c r="AV9">
        <v>5</v>
      </c>
      <c r="AW9">
        <v>14.85</v>
      </c>
      <c r="AX9">
        <v>27.68</v>
      </c>
      <c r="AY9">
        <v>28.2</v>
      </c>
      <c r="AZ9">
        <v>11.32</v>
      </c>
      <c r="BA9">
        <v>18.670000000000002</v>
      </c>
      <c r="BB9">
        <v>30.072683705902634</v>
      </c>
      <c r="BC9">
        <v>24.506876992087545</v>
      </c>
      <c r="BD9">
        <v>26.841266993418234</v>
      </c>
      <c r="BE9">
        <v>25.743770688892265</v>
      </c>
      <c r="BF9" s="28">
        <v>28.789583421355012</v>
      </c>
      <c r="BH9">
        <v>15</v>
      </c>
      <c r="BI9">
        <v>26.017207340524084</v>
      </c>
      <c r="BJ9">
        <v>0.66951136978035475</v>
      </c>
      <c r="BK9">
        <v>9.6886830868341871</v>
      </c>
      <c r="BL9">
        <v>0.29842315681350001</v>
      </c>
      <c r="BM9">
        <v>10.46792474054004</v>
      </c>
      <c r="BN9">
        <v>0.5688639645625575</v>
      </c>
      <c r="BO9">
        <v>34.802097870459633</v>
      </c>
      <c r="BP9">
        <v>0</v>
      </c>
      <c r="BQ9">
        <v>20.187467386467876</v>
      </c>
      <c r="BR9">
        <v>1.6299351366585935</v>
      </c>
      <c r="BS9">
        <v>16.891363492621565</v>
      </c>
      <c r="BT9">
        <v>1.4764163012244311</v>
      </c>
      <c r="BU9">
        <v>12.45330736723084</v>
      </c>
      <c r="BV9">
        <v>1.9354118845096944</v>
      </c>
      <c r="BW9">
        <v>11.333576722277057</v>
      </c>
      <c r="BX9">
        <v>1.0163485395638061</v>
      </c>
      <c r="BY9">
        <v>11.942608352097301</v>
      </c>
      <c r="BZ9">
        <v>0.64323332615980056</v>
      </c>
      <c r="CA9">
        <v>20.533995019267405</v>
      </c>
      <c r="CB9">
        <v>0.57060885982001153</v>
      </c>
    </row>
    <row r="10" spans="1:80" x14ac:dyDescent="0.25">
      <c r="B10">
        <v>10</v>
      </c>
      <c r="C10" s="5">
        <v>3.5867333333333332E-12</v>
      </c>
      <c r="D10" s="5">
        <v>1.1126299175077641E-13</v>
      </c>
      <c r="E10" s="5">
        <v>1.9147333333333335E-12</v>
      </c>
      <c r="F10" s="5">
        <v>9.5550213674974735E-14</v>
      </c>
      <c r="G10" s="5">
        <v>4.9895666666666659E-13</v>
      </c>
      <c r="H10" s="5">
        <v>1.0837754995077795E-14</v>
      </c>
      <c r="I10" s="5">
        <v>3.7660333333333339E-12</v>
      </c>
      <c r="J10" s="5">
        <v>2.0034171640807462E-13</v>
      </c>
      <c r="K10" s="5">
        <v>1.7430666666666665E-12</v>
      </c>
      <c r="L10" s="5">
        <v>2.5435898516335796E-13</v>
      </c>
      <c r="M10" s="5">
        <v>3.1648E-12</v>
      </c>
      <c r="N10" s="5">
        <v>6.0240268923702521E-14</v>
      </c>
      <c r="O10" s="5">
        <v>3.1603666666666666E-12</v>
      </c>
      <c r="P10" s="5">
        <v>7.6711319460255237E-13</v>
      </c>
      <c r="Q10" s="5">
        <v>3.2855333333333337E-12</v>
      </c>
      <c r="R10" s="5">
        <v>3.2315309581270215E-13</v>
      </c>
      <c r="S10" s="5">
        <v>2.7288666666666666E-12</v>
      </c>
      <c r="T10" s="5">
        <v>1.9228669567428036E-13</v>
      </c>
      <c r="U10" s="5">
        <v>7.7583000000000004E-13</v>
      </c>
      <c r="V10" s="5">
        <v>4.3581937390008989E-14</v>
      </c>
      <c r="X10" s="13">
        <v>4</v>
      </c>
      <c r="Y10" s="13">
        <v>9.347923681257015</v>
      </c>
      <c r="Z10" s="13">
        <v>5.5989549314173743</v>
      </c>
      <c r="AA10" s="13">
        <v>6.5497872340425536</v>
      </c>
      <c r="AB10" s="13">
        <v>33.084000000000003</v>
      </c>
      <c r="AC10" s="13">
        <v>16.534675615212528</v>
      </c>
      <c r="AD10" s="13">
        <v>4.63</v>
      </c>
      <c r="AE10" s="13">
        <v>5.68</v>
      </c>
      <c r="AF10" s="13">
        <v>6.57</v>
      </c>
      <c r="AG10" s="13">
        <v>6.35</v>
      </c>
      <c r="AH10" s="13">
        <v>7.03</v>
      </c>
      <c r="AI10" s="13"/>
      <c r="AJ10" s="13">
        <v>8</v>
      </c>
      <c r="AK10">
        <v>47.31</v>
      </c>
      <c r="AL10">
        <v>57.45</v>
      </c>
      <c r="AM10">
        <v>54.01</v>
      </c>
      <c r="AN10">
        <v>45.8</v>
      </c>
      <c r="AO10">
        <v>50.91</v>
      </c>
      <c r="AP10">
        <v>64.654272815776622</v>
      </c>
      <c r="AQ10">
        <v>54.810175127710266</v>
      </c>
      <c r="AR10">
        <v>53.979044982903417</v>
      </c>
      <c r="AS10">
        <v>61.242845250858387</v>
      </c>
      <c r="AT10">
        <v>55.944977320028904</v>
      </c>
      <c r="AV10">
        <v>8</v>
      </c>
      <c r="AW10">
        <v>16.670000000000002</v>
      </c>
      <c r="AX10">
        <v>26.21</v>
      </c>
      <c r="AY10">
        <v>33.53</v>
      </c>
      <c r="AZ10">
        <v>9.4</v>
      </c>
      <c r="BA10">
        <v>18.3</v>
      </c>
      <c r="BB10">
        <v>29.464305038821653</v>
      </c>
      <c r="BC10">
        <v>25.071148415378797</v>
      </c>
      <c r="BD10">
        <v>25.853255719666535</v>
      </c>
      <c r="BE10">
        <v>26.778575081687574</v>
      </c>
      <c r="BF10" s="28">
        <v>27.41581952634067</v>
      </c>
      <c r="BH10">
        <v>11.3</v>
      </c>
      <c r="BI10">
        <v>13.229925024668196</v>
      </c>
      <c r="BJ10">
        <v>0.10536234555165526</v>
      </c>
      <c r="BK10">
        <v>3.9988935443745741</v>
      </c>
      <c r="BL10">
        <v>0.10616232577971686</v>
      </c>
      <c r="BM10">
        <v>5.9493678963505561</v>
      </c>
      <c r="BN10">
        <v>0.3288095560504169</v>
      </c>
      <c r="BO10">
        <v>17.037609305569955</v>
      </c>
      <c r="BP10">
        <v>0.1239916174653601</v>
      </c>
      <c r="BQ10">
        <v>8.9310302455222139</v>
      </c>
      <c r="BR10">
        <v>0.44991109578589616</v>
      </c>
      <c r="BS10">
        <v>6.8247186904296617</v>
      </c>
      <c r="BT10">
        <v>0.53107190234704449</v>
      </c>
      <c r="BU10">
        <v>5.7285474573543453</v>
      </c>
      <c r="BV10">
        <v>0.17856170905780869</v>
      </c>
      <c r="BW10">
        <v>7.5561089114884394</v>
      </c>
      <c r="BX10">
        <v>0.50871139333471727</v>
      </c>
      <c r="BY10">
        <v>7.2129556402234734</v>
      </c>
      <c r="BZ10">
        <v>0.48651339396711551</v>
      </c>
      <c r="CA10">
        <v>8.9199271368869706</v>
      </c>
      <c r="CB10">
        <v>6.192291383126463E-2</v>
      </c>
    </row>
    <row r="11" spans="1:80" x14ac:dyDescent="0.25">
      <c r="B11">
        <v>15</v>
      </c>
      <c r="C11" s="5">
        <v>3.5365333333333333E-12</v>
      </c>
      <c r="D11" s="5">
        <v>1.4125248080417307E-13</v>
      </c>
      <c r="E11" s="5">
        <v>1.8515666666666667E-12</v>
      </c>
      <c r="F11" s="5">
        <v>6.3760829145591683E-14</v>
      </c>
      <c r="G11" s="5">
        <v>4.4274333333333328E-13</v>
      </c>
      <c r="H11" s="5">
        <v>1.2701182359659778E-14</v>
      </c>
      <c r="I11" s="5">
        <v>3.541633333333333E-12</v>
      </c>
      <c r="J11" s="5">
        <v>2.70332061238273E-13</v>
      </c>
      <c r="K11" s="5">
        <v>1.6300999999999999E-12</v>
      </c>
      <c r="L11" s="5">
        <v>2.2943171097300403E-13</v>
      </c>
      <c r="M11" s="5">
        <v>2.8460666666666666E-12</v>
      </c>
      <c r="N11" s="5">
        <v>1.992348948686785E-13</v>
      </c>
      <c r="O11" s="5">
        <v>3.1931666666666666E-12</v>
      </c>
      <c r="P11" s="5">
        <v>5.9699180340548501E-13</v>
      </c>
      <c r="Q11" s="5">
        <v>3.2754333333333331E-12</v>
      </c>
      <c r="R11" s="5">
        <v>2.5179583660841837E-13</v>
      </c>
      <c r="S11" s="5">
        <v>2.5970999999999995E-12</v>
      </c>
      <c r="T11" s="5">
        <v>2.3111304593207196E-13</v>
      </c>
      <c r="U11" s="5">
        <v>7.0849666666666672E-13</v>
      </c>
      <c r="V11" s="5">
        <v>3.6623928729118568E-14</v>
      </c>
      <c r="X11" s="13">
        <v>8</v>
      </c>
      <c r="Y11" s="13">
        <v>8.1044634377967704</v>
      </c>
      <c r="Z11" s="13">
        <v>6.4338685015290524</v>
      </c>
      <c r="AA11" s="13">
        <v>8.2087326943556977</v>
      </c>
      <c r="AB11" s="13">
        <v>42.21899736147757</v>
      </c>
      <c r="AC11" s="13">
        <v>21.644376899696049</v>
      </c>
      <c r="AD11" s="13">
        <v>4.74</v>
      </c>
      <c r="AE11" s="13">
        <v>5.6</v>
      </c>
      <c r="AF11" s="13">
        <v>6.11</v>
      </c>
      <c r="AG11" s="13">
        <v>6.03</v>
      </c>
      <c r="AH11" s="13">
        <v>8.5</v>
      </c>
      <c r="AI11" s="13"/>
      <c r="AJ11" s="13">
        <v>10</v>
      </c>
      <c r="AK11">
        <v>49.52</v>
      </c>
      <c r="AL11">
        <v>62.01</v>
      </c>
      <c r="AM11">
        <v>59.47</v>
      </c>
      <c r="AN11">
        <v>45.38</v>
      </c>
      <c r="AO11">
        <v>49.45</v>
      </c>
      <c r="AP11">
        <v>65.294174018186311</v>
      </c>
      <c r="AQ11">
        <v>55.805141881446751</v>
      </c>
      <c r="AR11">
        <v>55.361617437076738</v>
      </c>
      <c r="AS11">
        <v>60.718794557122379</v>
      </c>
      <c r="AT11">
        <v>57.571895983365792</v>
      </c>
      <c r="AV11">
        <v>10</v>
      </c>
      <c r="AW11">
        <v>16.670000000000002</v>
      </c>
      <c r="AX11">
        <v>29.47</v>
      </c>
      <c r="AY11">
        <v>32.32</v>
      </c>
      <c r="AZ11">
        <v>11.04</v>
      </c>
      <c r="BA11">
        <v>18.66</v>
      </c>
      <c r="BB11">
        <v>31.989415176927984</v>
      </c>
      <c r="BC11">
        <v>28.760371262998529</v>
      </c>
      <c r="BD11">
        <v>26.935215961662152</v>
      </c>
      <c r="BE11">
        <v>25.343124474784606</v>
      </c>
      <c r="BF11" s="28">
        <v>29.6535442739427</v>
      </c>
      <c r="BH11">
        <v>10</v>
      </c>
      <c r="BI11">
        <v>9.7363194386033793</v>
      </c>
      <c r="BJ11">
        <v>0.11234962607012393</v>
      </c>
      <c r="BK11">
        <v>3.1868588784235379</v>
      </c>
      <c r="BL11">
        <v>0.32305721949164556</v>
      </c>
      <c r="BM11">
        <v>4.3868500289614101</v>
      </c>
      <c r="BN11">
        <v>0.20371441420608871</v>
      </c>
      <c r="BO11">
        <v>12.264817947304488</v>
      </c>
      <c r="BP11">
        <v>6.4179117312126041E-2</v>
      </c>
      <c r="BQ11">
        <v>6.9564252448540769</v>
      </c>
      <c r="BR11">
        <v>0.10342387951194894</v>
      </c>
      <c r="BS11" t="s">
        <v>44</v>
      </c>
      <c r="BT11" t="s">
        <v>44</v>
      </c>
      <c r="BU11" t="s">
        <v>44</v>
      </c>
      <c r="BV11" t="s">
        <v>44</v>
      </c>
      <c r="BW11" t="s">
        <v>44</v>
      </c>
      <c r="BX11" t="s">
        <v>44</v>
      </c>
      <c r="BY11" t="s">
        <v>44</v>
      </c>
      <c r="BZ11" t="s">
        <v>44</v>
      </c>
      <c r="CA11" t="s">
        <v>44</v>
      </c>
      <c r="CB11" t="s">
        <v>44</v>
      </c>
    </row>
    <row r="12" spans="1:80" x14ac:dyDescent="0.25">
      <c r="B12">
        <v>20</v>
      </c>
      <c r="C12" s="5">
        <v>3.6180666666666665E-12</v>
      </c>
      <c r="D12" s="5">
        <v>1.662115920546256E-13</v>
      </c>
      <c r="E12" s="5">
        <v>1.8149666666666667E-12</v>
      </c>
      <c r="F12" s="5">
        <v>6.5226707209036184E-14</v>
      </c>
      <c r="G12" s="5">
        <v>4.3116333333333334E-13</v>
      </c>
      <c r="H12" s="5">
        <v>6.9014298035503804E-15</v>
      </c>
      <c r="I12" s="5">
        <v>3.6186000000000004E-12</v>
      </c>
      <c r="J12" s="5">
        <v>1.7196607223519407E-13</v>
      </c>
      <c r="K12" s="5">
        <v>1.5661666666666665E-12</v>
      </c>
      <c r="L12" s="5">
        <v>2.2280990402882294E-13</v>
      </c>
      <c r="M12" s="5">
        <v>2.9899666666666664E-12</v>
      </c>
      <c r="N12" s="5">
        <v>1.0689669467917773E-13</v>
      </c>
      <c r="O12" s="5">
        <v>3.1050666666666666E-12</v>
      </c>
      <c r="P12" s="5">
        <v>6.4874233200349525E-13</v>
      </c>
      <c r="Q12" s="5">
        <v>3.2893666666666665E-12</v>
      </c>
      <c r="R12" s="5">
        <v>2.2798167324005078E-13</v>
      </c>
      <c r="S12" s="5">
        <v>2.5163666666666665E-12</v>
      </c>
      <c r="T12" s="5">
        <v>2.4056588148225272E-13</v>
      </c>
      <c r="U12" s="5">
        <v>6.7020999999999993E-13</v>
      </c>
      <c r="V12" s="5">
        <v>3.8735030657016404E-14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>
        <v>15</v>
      </c>
      <c r="AK12">
        <v>49.94</v>
      </c>
      <c r="AL12">
        <v>54.61</v>
      </c>
      <c r="AM12">
        <v>52.49</v>
      </c>
      <c r="AN12">
        <v>45.01</v>
      </c>
      <c r="AO12">
        <v>57.86</v>
      </c>
      <c r="AP12">
        <v>65.559610895190488</v>
      </c>
      <c r="AQ12">
        <v>56.260423854098534</v>
      </c>
      <c r="AR12">
        <v>58.102879604764325</v>
      </c>
      <c r="AS12">
        <v>67.14614461583092</v>
      </c>
      <c r="AT12">
        <v>58.078988433000617</v>
      </c>
      <c r="AV12">
        <v>15</v>
      </c>
      <c r="AW12">
        <v>20.78</v>
      </c>
      <c r="AX12">
        <v>28.85</v>
      </c>
      <c r="AY12">
        <v>32.65</v>
      </c>
      <c r="AZ12">
        <v>11.33</v>
      </c>
      <c r="BA12">
        <v>20.21</v>
      </c>
      <c r="BB12">
        <v>28.635938993530395</v>
      </c>
      <c r="BC12">
        <v>29.746101787956121</v>
      </c>
      <c r="BD12">
        <v>27.351690057332643</v>
      </c>
      <c r="BE12">
        <v>26.547824918977785</v>
      </c>
      <c r="BF12" s="28">
        <v>30.708215124282201</v>
      </c>
      <c r="BH12">
        <v>8</v>
      </c>
      <c r="BI12">
        <v>5.4369234603653043</v>
      </c>
      <c r="BJ12">
        <v>0.10015864593643556</v>
      </c>
      <c r="BK12">
        <v>2.7158464289942295</v>
      </c>
      <c r="BL12">
        <v>7.8019636442493503E-2</v>
      </c>
      <c r="BM12">
        <v>2.278003654538181</v>
      </c>
      <c r="BN12">
        <v>7.1454092441762901E-2</v>
      </c>
      <c r="BO12">
        <v>6.7192169155837904</v>
      </c>
      <c r="BP12">
        <v>1.0877919644084146E-15</v>
      </c>
      <c r="BQ12">
        <v>4.2568731736849781</v>
      </c>
      <c r="BR12">
        <v>0.1582420274012101</v>
      </c>
      <c r="BS12" t="s">
        <v>44</v>
      </c>
      <c r="BT12" t="s">
        <v>44</v>
      </c>
      <c r="BU12" t="s">
        <v>44</v>
      </c>
      <c r="BV12" t="s">
        <v>44</v>
      </c>
      <c r="BW12" t="s">
        <v>44</v>
      </c>
      <c r="BX12" t="s">
        <v>44</v>
      </c>
      <c r="BY12" t="s">
        <v>44</v>
      </c>
      <c r="BZ12" t="s">
        <v>44</v>
      </c>
      <c r="CA12" t="s">
        <v>44</v>
      </c>
      <c r="CB12" t="s">
        <v>44</v>
      </c>
    </row>
    <row r="13" spans="1:80" x14ac:dyDescent="0.25"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>
        <v>20</v>
      </c>
      <c r="AK13">
        <v>53.64</v>
      </c>
      <c r="AL13">
        <v>54.93</v>
      </c>
      <c r="AM13">
        <v>50.38</v>
      </c>
      <c r="AN13">
        <v>47.98</v>
      </c>
      <c r="AO13">
        <v>52.12</v>
      </c>
      <c r="AP13">
        <v>70.556052234657216</v>
      </c>
      <c r="AQ13">
        <v>58.427999502576299</v>
      </c>
      <c r="AR13">
        <v>56.908087255089129</v>
      </c>
      <c r="AS13">
        <v>69.048629537528299</v>
      </c>
      <c r="AT13">
        <v>53.962168833519705</v>
      </c>
      <c r="AV13">
        <v>20</v>
      </c>
      <c r="AW13">
        <v>21.78</v>
      </c>
      <c r="AX13">
        <v>29.93</v>
      </c>
      <c r="AY13">
        <v>32.799999999999997</v>
      </c>
      <c r="AZ13">
        <v>13.12</v>
      </c>
      <c r="BA13">
        <v>20.74</v>
      </c>
      <c r="BB13">
        <v>35.889278232112808</v>
      </c>
      <c r="BC13">
        <v>31.606442128388956</v>
      </c>
      <c r="BD13">
        <v>35.818730296297801</v>
      </c>
      <c r="BE13">
        <v>30.058285884908972</v>
      </c>
      <c r="BF13" s="28">
        <v>28.419035150423937</v>
      </c>
      <c r="BH13">
        <v>6</v>
      </c>
      <c r="BI13">
        <v>2.6440501601226973</v>
      </c>
      <c r="BJ13">
        <v>8.8629167834630516E-3</v>
      </c>
      <c r="BK13">
        <v>1.2111814907840281</v>
      </c>
      <c r="BL13">
        <v>4.7029059823588085E-2</v>
      </c>
      <c r="BM13" t="s">
        <v>44</v>
      </c>
      <c r="BN13" t="s">
        <v>44</v>
      </c>
      <c r="BO13">
        <v>3.3050737180046617</v>
      </c>
      <c r="BP13">
        <v>4.6503294901256058E-3</v>
      </c>
      <c r="BQ13">
        <v>2.1420182237783369</v>
      </c>
      <c r="BR13">
        <v>4.8093477841747619E-2</v>
      </c>
      <c r="BS13" t="s">
        <v>44</v>
      </c>
      <c r="BT13" t="s">
        <v>44</v>
      </c>
      <c r="BU13" t="s">
        <v>44</v>
      </c>
      <c r="BV13" t="s">
        <v>44</v>
      </c>
      <c r="BW13" t="s">
        <v>44</v>
      </c>
      <c r="BX13" t="s">
        <v>44</v>
      </c>
      <c r="BY13" t="s">
        <v>44</v>
      </c>
      <c r="BZ13" t="s">
        <v>44</v>
      </c>
      <c r="CA13" t="s">
        <v>44</v>
      </c>
      <c r="CB13" t="s">
        <v>44</v>
      </c>
    </row>
    <row r="14" spans="1:80" x14ac:dyDescent="0.25"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>
        <v>30</v>
      </c>
      <c r="AK14">
        <v>67.42</v>
      </c>
      <c r="AL14">
        <v>62.31</v>
      </c>
      <c r="AM14">
        <v>50.47</v>
      </c>
      <c r="AN14">
        <v>61.16</v>
      </c>
      <c r="AO14">
        <v>65.08</v>
      </c>
      <c r="AP14">
        <v>71.350683308428259</v>
      </c>
      <c r="AQ14">
        <v>62.684552008274167</v>
      </c>
      <c r="AR14">
        <v>72.12277983522803</v>
      </c>
      <c r="AS14">
        <v>71.360127148603169</v>
      </c>
      <c r="AT14">
        <v>60.091039172013353</v>
      </c>
      <c r="AV14">
        <v>30</v>
      </c>
      <c r="AW14">
        <v>27.45</v>
      </c>
      <c r="AX14">
        <v>26.04</v>
      </c>
      <c r="AY14">
        <v>25.85</v>
      </c>
      <c r="AZ14">
        <v>12.87</v>
      </c>
      <c r="BA14">
        <v>27.3</v>
      </c>
      <c r="BB14">
        <v>31.70968645758278</v>
      </c>
      <c r="BC14">
        <v>32.929027582128384</v>
      </c>
      <c r="BD14">
        <v>33.525772351030241</v>
      </c>
      <c r="BE14">
        <v>32.878227075077831</v>
      </c>
      <c r="BF14" s="28">
        <v>26.719734847593465</v>
      </c>
    </row>
    <row r="15" spans="1:80" x14ac:dyDescent="0.25"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>
        <v>40</v>
      </c>
      <c r="AK15">
        <v>70.150000000000006</v>
      </c>
      <c r="AL15">
        <v>67.540000000000006</v>
      </c>
      <c r="AM15">
        <v>45.43</v>
      </c>
      <c r="AN15">
        <v>69.63</v>
      </c>
      <c r="AO15">
        <v>66.760000000000005</v>
      </c>
      <c r="AP15">
        <v>75.248772163183986</v>
      </c>
      <c r="AQ15">
        <v>66.947399148763367</v>
      </c>
      <c r="AR15">
        <v>71.910399201595197</v>
      </c>
      <c r="AS15">
        <v>72.111231906772318</v>
      </c>
      <c r="AT15">
        <v>64.843811770630339</v>
      </c>
      <c r="AV15">
        <v>40</v>
      </c>
      <c r="AW15">
        <v>28.99</v>
      </c>
      <c r="AX15">
        <v>26.34</v>
      </c>
      <c r="AY15">
        <v>21.58</v>
      </c>
      <c r="AZ15">
        <v>14.74</v>
      </c>
      <c r="BA15">
        <v>27.16</v>
      </c>
      <c r="BB15">
        <v>38.239295773670328</v>
      </c>
      <c r="BC15">
        <v>31.519193025861114</v>
      </c>
      <c r="BD15">
        <v>34.958676461399314</v>
      </c>
      <c r="BE15">
        <v>31.455607342644331</v>
      </c>
      <c r="BF15" s="28">
        <v>25.380622570667832</v>
      </c>
    </row>
    <row r="16" spans="1:80" x14ac:dyDescent="0.25">
      <c r="AJ16">
        <v>50</v>
      </c>
      <c r="AK16">
        <v>79.61</v>
      </c>
      <c r="AL16">
        <v>63.84</v>
      </c>
      <c r="AM16">
        <v>46.44</v>
      </c>
      <c r="AN16">
        <v>74.27</v>
      </c>
      <c r="AO16">
        <v>75.260000000000005</v>
      </c>
      <c r="AP16">
        <v>71.593177850312898</v>
      </c>
      <c r="AQ16">
        <v>69.549276141072227</v>
      </c>
      <c r="AR16">
        <v>77.234971577573845</v>
      </c>
      <c r="AS16">
        <v>69.198463523676665</v>
      </c>
      <c r="AT16">
        <v>61.956884940281412</v>
      </c>
      <c r="AV16">
        <v>50</v>
      </c>
      <c r="AW16">
        <v>29.64</v>
      </c>
      <c r="AX16">
        <v>19.13</v>
      </c>
      <c r="AY16">
        <v>15.92</v>
      </c>
      <c r="AZ16">
        <v>16.36</v>
      </c>
      <c r="BA16">
        <v>28.86</v>
      </c>
      <c r="BB16">
        <v>33.412537200619312</v>
      </c>
      <c r="BC16">
        <v>32.645415464906812</v>
      </c>
      <c r="BD16">
        <v>36.093208911537985</v>
      </c>
      <c r="BE16">
        <v>29.575898970437681</v>
      </c>
      <c r="BF16" s="28">
        <v>20.461938771388944</v>
      </c>
    </row>
    <row r="17" spans="36:58" x14ac:dyDescent="0.25">
      <c r="AJ17">
        <v>60</v>
      </c>
      <c r="AK17">
        <v>74.930000000000007</v>
      </c>
      <c r="AL17">
        <v>62.56</v>
      </c>
      <c r="AM17">
        <v>53.88</v>
      </c>
      <c r="AN17">
        <v>72.92</v>
      </c>
      <c r="AO17">
        <v>76.06</v>
      </c>
      <c r="AP17">
        <v>65.948033737994891</v>
      </c>
      <c r="AQ17">
        <v>79.340209542459746</v>
      </c>
      <c r="AR17">
        <v>72.51724327416224</v>
      </c>
      <c r="AS17">
        <v>70.428432184981318</v>
      </c>
      <c r="AT17">
        <v>64.754136012909328</v>
      </c>
      <c r="AV17">
        <v>60</v>
      </c>
      <c r="AW17">
        <v>28.36</v>
      </c>
      <c r="AX17">
        <v>15.26</v>
      </c>
      <c r="AY17">
        <v>16.41</v>
      </c>
      <c r="AZ17">
        <v>18.25</v>
      </c>
      <c r="BA17">
        <v>28.73</v>
      </c>
      <c r="BB17">
        <v>29.165146902566182</v>
      </c>
      <c r="BC17">
        <v>31.156236306275868</v>
      </c>
      <c r="BD17">
        <v>34.954245672915718</v>
      </c>
      <c r="BE17">
        <v>29.131970559832418</v>
      </c>
      <c r="BF17" s="28">
        <v>17.531037423890318</v>
      </c>
    </row>
  </sheetData>
  <pageMargins left="0.7" right="0.7" top="0.78740157499999996" bottom="0.78740157499999996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6C5B-E11A-4DD4-9467-7C381457A26F}">
  <dimension ref="B4:H17"/>
  <sheetViews>
    <sheetView zoomScaleNormal="100" workbookViewId="0">
      <selection activeCell="P11" sqref="P11"/>
    </sheetView>
  </sheetViews>
  <sheetFormatPr baseColWidth="10" defaultRowHeight="15" x14ac:dyDescent="0.25"/>
  <sheetData>
    <row r="4" spans="2:8" ht="15.75" thickBot="1" x14ac:dyDescent="0.3"/>
    <row r="5" spans="2:8" ht="54.75" thickBot="1" x14ac:dyDescent="0.3">
      <c r="B5" s="6" t="s">
        <v>18</v>
      </c>
      <c r="C5" s="7" t="s">
        <v>22</v>
      </c>
      <c r="D5" s="7" t="s">
        <v>23</v>
      </c>
      <c r="E5" s="7" t="s">
        <v>24</v>
      </c>
      <c r="F5" s="7" t="s">
        <v>25</v>
      </c>
      <c r="G5" s="7" t="s">
        <v>26</v>
      </c>
      <c r="H5" s="7" t="s">
        <v>27</v>
      </c>
    </row>
    <row r="6" spans="2:8" ht="41.25" thickTop="1" x14ac:dyDescent="0.25">
      <c r="B6" s="8" t="s">
        <v>16</v>
      </c>
      <c r="C6" s="23">
        <v>10</v>
      </c>
      <c r="D6" s="23">
        <v>106</v>
      </c>
      <c r="E6" s="23">
        <v>12</v>
      </c>
      <c r="F6" s="23">
        <v>10</v>
      </c>
      <c r="G6" s="23">
        <v>6</v>
      </c>
      <c r="H6" s="25"/>
    </row>
    <row r="7" spans="2:8" ht="15.75" thickBot="1" x14ac:dyDescent="0.3">
      <c r="B7" s="9"/>
      <c r="C7" s="24"/>
      <c r="D7" s="24"/>
      <c r="E7" s="24"/>
      <c r="F7" s="24"/>
      <c r="G7" s="24"/>
      <c r="H7" s="22"/>
    </row>
    <row r="8" spans="2:8" ht="40.5" x14ac:dyDescent="0.25">
      <c r="B8" s="8" t="s">
        <v>17</v>
      </c>
      <c r="C8" s="26">
        <v>5.5</v>
      </c>
      <c r="D8" s="26">
        <v>106</v>
      </c>
      <c r="E8" s="26">
        <v>12</v>
      </c>
      <c r="F8" s="26">
        <v>5.5</v>
      </c>
      <c r="G8" s="26">
        <v>6</v>
      </c>
      <c r="H8" s="21"/>
    </row>
    <row r="9" spans="2:8" ht="15.75" thickBot="1" x14ac:dyDescent="0.3">
      <c r="B9" s="9"/>
      <c r="C9" s="24"/>
      <c r="D9" s="24"/>
      <c r="E9" s="24"/>
      <c r="F9" s="24"/>
      <c r="G9" s="24"/>
      <c r="H9" s="22"/>
    </row>
    <row r="10" spans="2:8" ht="40.5" x14ac:dyDescent="0.25">
      <c r="B10" s="8" t="s">
        <v>19</v>
      </c>
      <c r="C10" s="26">
        <v>10</v>
      </c>
      <c r="D10" s="26">
        <v>106</v>
      </c>
      <c r="E10" s="26">
        <v>12</v>
      </c>
      <c r="F10" s="26">
        <v>6</v>
      </c>
      <c r="G10" s="26">
        <v>6</v>
      </c>
      <c r="H10" s="21"/>
    </row>
    <row r="11" spans="2:8" ht="15.75" thickBot="1" x14ac:dyDescent="0.3">
      <c r="B11" s="9"/>
      <c r="C11" s="24"/>
      <c r="D11" s="24"/>
      <c r="E11" s="24"/>
      <c r="F11" s="24"/>
      <c r="G11" s="24"/>
      <c r="H11" s="22"/>
    </row>
    <row r="12" spans="2:8" ht="40.5" x14ac:dyDescent="0.25">
      <c r="B12" s="8" t="s">
        <v>20</v>
      </c>
      <c r="C12" s="26">
        <v>5.5</v>
      </c>
      <c r="D12" s="26">
        <v>106</v>
      </c>
      <c r="E12" s="26">
        <v>12</v>
      </c>
      <c r="F12" s="26">
        <v>5</v>
      </c>
      <c r="G12" s="26">
        <v>5</v>
      </c>
      <c r="H12" s="21"/>
    </row>
    <row r="13" spans="2:8" ht="15.75" thickBot="1" x14ac:dyDescent="0.3">
      <c r="B13" s="9"/>
      <c r="C13" s="24"/>
      <c r="D13" s="24"/>
      <c r="E13" s="24"/>
      <c r="F13" s="24"/>
      <c r="G13" s="24"/>
      <c r="H13" s="22"/>
    </row>
    <row r="14" spans="2:8" ht="27" x14ac:dyDescent="0.25">
      <c r="B14" s="8" t="s">
        <v>21</v>
      </c>
      <c r="C14" s="26">
        <v>10</v>
      </c>
      <c r="D14" s="26">
        <v>110</v>
      </c>
      <c r="E14" s="26">
        <v>16</v>
      </c>
      <c r="F14" s="26">
        <v>4</v>
      </c>
      <c r="G14" s="26">
        <v>4</v>
      </c>
      <c r="H14" s="21"/>
    </row>
    <row r="15" spans="2:8" ht="15.75" thickBot="1" x14ac:dyDescent="0.3">
      <c r="B15" s="9"/>
      <c r="C15" s="24"/>
      <c r="D15" s="24"/>
      <c r="E15" s="24"/>
      <c r="F15" s="24"/>
      <c r="G15" s="24"/>
      <c r="H15" s="22"/>
    </row>
    <row r="16" spans="2:8" ht="49.5" customHeight="1" x14ac:dyDescent="0.25">
      <c r="B16" s="8" t="s">
        <v>28</v>
      </c>
      <c r="C16" s="26">
        <v>5.5</v>
      </c>
      <c r="D16" s="26">
        <v>106</v>
      </c>
      <c r="E16" s="26">
        <v>18</v>
      </c>
      <c r="F16" s="26">
        <v>3</v>
      </c>
      <c r="G16" s="26">
        <v>5</v>
      </c>
      <c r="H16" s="21"/>
    </row>
    <row r="17" spans="2:8" ht="15.75" thickBot="1" x14ac:dyDescent="0.3">
      <c r="B17" s="9"/>
      <c r="C17" s="24"/>
      <c r="D17" s="24"/>
      <c r="E17" s="24"/>
      <c r="F17" s="24"/>
      <c r="G17" s="24"/>
      <c r="H17" s="22"/>
    </row>
  </sheetData>
  <mergeCells count="36">
    <mergeCell ref="H16:H17"/>
    <mergeCell ref="C14:C15"/>
    <mergeCell ref="D14:D15"/>
    <mergeCell ref="E14:E15"/>
    <mergeCell ref="F14:F15"/>
    <mergeCell ref="G14:G15"/>
    <mergeCell ref="H14:H15"/>
    <mergeCell ref="C16:C17"/>
    <mergeCell ref="D16:D17"/>
    <mergeCell ref="E16:E17"/>
    <mergeCell ref="F16:F17"/>
    <mergeCell ref="G16:G17"/>
    <mergeCell ref="H12:H13"/>
    <mergeCell ref="C10:C11"/>
    <mergeCell ref="D10:D11"/>
    <mergeCell ref="E10:E11"/>
    <mergeCell ref="F10:F11"/>
    <mergeCell ref="G10:G11"/>
    <mergeCell ref="H10:H11"/>
    <mergeCell ref="C12:C13"/>
    <mergeCell ref="D12:D13"/>
    <mergeCell ref="E12:E13"/>
    <mergeCell ref="F12:F13"/>
    <mergeCell ref="G12:G13"/>
    <mergeCell ref="H8:H9"/>
    <mergeCell ref="C6:C7"/>
    <mergeCell ref="D6:D7"/>
    <mergeCell ref="E6:E7"/>
    <mergeCell ref="F6:F7"/>
    <mergeCell ref="G6:G7"/>
    <mergeCell ref="H6:H7"/>
    <mergeCell ref="C8:C9"/>
    <mergeCell ref="D8:D9"/>
    <mergeCell ref="E8:E9"/>
    <mergeCell ref="F8:F9"/>
    <mergeCell ref="G8:G9"/>
  </mergeCells>
  <pageMargins left="0.7" right="0.7" top="0.78740157499999996" bottom="0.78740157499999996" header="0.3" footer="0.3"/>
  <drawing r:id="rId1"/>
  <legacyDrawing r:id="rId2"/>
  <oleObjects>
    <mc:AlternateContent xmlns:mc="http://schemas.openxmlformats.org/markup-compatibility/2006">
      <mc:Choice Requires="x14">
        <oleObject progId="PBrush" shapeId="2054" r:id="rId3">
          <objectPr defaultSize="0" autoPict="0" r:id="rId4">
            <anchor moveWithCells="1" sizeWithCells="1">
              <from>
                <xdr:col>10</xdr:col>
                <xdr:colOff>495300</xdr:colOff>
                <xdr:row>4</xdr:row>
                <xdr:rowOff>333375</xdr:rowOff>
              </from>
              <to>
                <xdr:col>13</xdr:col>
                <xdr:colOff>438150</xdr:colOff>
                <xdr:row>7</xdr:row>
                <xdr:rowOff>209550</xdr:rowOff>
              </to>
            </anchor>
          </objectPr>
        </oleObject>
      </mc:Choice>
      <mc:Fallback>
        <oleObject progId="PBrush" shapeId="2054" r:id="rId3"/>
      </mc:Fallback>
    </mc:AlternateContent>
    <mc:AlternateContent xmlns:mc="http://schemas.openxmlformats.org/markup-compatibility/2006">
      <mc:Choice Requires="x14">
        <oleObject progId="PBrush" shapeId="2053" r:id="rId5">
          <objectPr defaultSize="0" autoPict="0" r:id="rId6">
            <anchor moveWithCells="1" sizeWithCells="1">
              <from>
                <xdr:col>8</xdr:col>
                <xdr:colOff>123825</xdr:colOff>
                <xdr:row>6</xdr:row>
                <xdr:rowOff>66675</xdr:rowOff>
              </from>
              <to>
                <xdr:col>11</xdr:col>
                <xdr:colOff>57150</xdr:colOff>
                <xdr:row>9</xdr:row>
                <xdr:rowOff>219075</xdr:rowOff>
              </to>
            </anchor>
          </objectPr>
        </oleObject>
      </mc:Choice>
      <mc:Fallback>
        <oleObject progId="PBrush" shapeId="2053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Powder characterization</vt:lpstr>
      <vt:lpstr>Full Datasets powder charact.</vt:lpstr>
      <vt:lpstr>Paddle wheel geometries</vt:lpstr>
      <vt:lpstr>'Paddle wheel geometries'!_Hlk216861400</vt:lpstr>
      <vt:lpstr>'Paddle wheel geometries'!_Hlk216861468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Wagner</dc:creator>
  <cp:lastModifiedBy>Lars Wagner</cp:lastModifiedBy>
  <dcterms:created xsi:type="dcterms:W3CDTF">2015-06-05T18:19:34Z</dcterms:created>
  <dcterms:modified xsi:type="dcterms:W3CDTF">2026-09-15T14:49:00Z</dcterms:modified>
</cp:coreProperties>
</file>
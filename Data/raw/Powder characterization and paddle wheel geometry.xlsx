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2.png" ContentType="image/png"/>
  <Override PartName="/xl/media/image1.png" ContentType="image/png"/>
  <Override PartName="/xl/media/image4.png" ContentType="image/png"/>
  <Override PartName="/xl/media/image3.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der characterization" sheetId="1" state="visible" r:id="rId3"/>
    <sheet name="Full Datasets powder charact." sheetId="2" state="visible" r:id="rId4"/>
    <sheet name="Paddle wheel geometries" sheetId="3" state="visible" r:id="rId5"/>
  </sheets>
  <definedNames>
    <definedName function="false" hidden="false" localSheetId="2" name="_Hlk216861400" vbProcedure="false">'Paddle wheel geometries'!$H$6</definedName>
    <definedName function="false" hidden="false" localSheetId="2" name="_Hlk216861468" vbProcedure="false">'Paddle wheel geometries'!$H$8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<sst xmlns="http://schemas.openxmlformats.org/spreadsheetml/2006/main" count="113" uniqueCount="50">
  <si>
    <t xml:space="preserve">Flowability</t>
  </si>
  <si>
    <t xml:space="preserve">Spalte1</t>
  </si>
  <si>
    <r>
      <rPr>
        <sz val="11"/>
        <color theme="1"/>
        <rFont val="Calibri"/>
        <family val="2"/>
        <charset val="1"/>
      </rPr>
      <t xml:space="preserve">Bulk density [g/cm</t>
    </r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</si>
  <si>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Tapped density [g/cm</t>
    </r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]</t>
    </r>
  </si>
  <si>
    <t xml:space="preserve">Hausner ratio [-]</t>
  </si>
  <si>
    <r>
      <rPr>
        <sz val="11"/>
        <color theme="1"/>
        <rFont val="Calibri"/>
        <family val="2"/>
        <charset val="1"/>
      </rPr>
      <t xml:space="preserve">True density [g/cm</t>
    </r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]</t>
    </r>
  </si>
  <si>
    <t xml:space="preserve">Flow function coefficient (4kPa preshear normal stress) [-]</t>
  </si>
  <si>
    <t xml:space="preserve">Static angle of repose [°]</t>
  </si>
  <si>
    <t xml:space="preserve">Dynamic angle of repose (5 rpm) [°]</t>
  </si>
  <si>
    <t xml:space="preserve">Cohesion index (5 rpm) [-]</t>
  </si>
  <si>
    <r>
      <rPr>
        <sz val="11"/>
        <color theme="1"/>
        <rFont val="Calibri"/>
        <family val="2"/>
        <charset val="1"/>
      </rPr>
      <t xml:space="preserve">Volume flow through an orifice (d = 25 mm)[cm</t>
    </r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/s]</t>
    </r>
  </si>
  <si>
    <r>
      <rPr>
        <sz val="11"/>
        <color theme="1"/>
        <rFont val="Calibri"/>
        <family val="2"/>
        <charset val="1"/>
      </rPr>
      <t xml:space="preserve">Permeability (5kPa compression stress)[m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]</t>
    </r>
  </si>
  <si>
    <t xml:space="preserve">Materials</t>
  </si>
  <si>
    <t xml:space="preserve">Dicalciumphosphate (DCP)</t>
  </si>
  <si>
    <t xml:space="preserve">Tricalciumcitrate (TCC)</t>
  </si>
  <si>
    <t xml:space="preserve">Lactose-Anhydrate (ST21AN)</t>
  </si>
  <si>
    <t xml:space="preserve">MCC coarse</t>
  </si>
  <si>
    <t xml:space="preserve">MCC  fine</t>
  </si>
  <si>
    <t xml:space="preserve">Powdered Cellulose (Arbocel P290)</t>
  </si>
  <si>
    <t xml:space="preserve">MCC finest (Vivapur 120)</t>
  </si>
  <si>
    <t xml:space="preserve">MCC finest + Pellets (10%Cellets700 10%Vivapur101 80%Vivapur102)</t>
  </si>
  <si>
    <t xml:space="preserve">HPMC (60% Tylopur 90SH 40% Vivapur120)</t>
  </si>
  <si>
    <t xml:space="preserve">CaCO3(50% MagGranCC 39% TCC 10% MCC Vivapur 120 1% MgSt)</t>
  </si>
  <si>
    <r>
      <rPr>
        <b val="true"/>
        <sz val="20"/>
        <color theme="1"/>
        <rFont val="Calibri"/>
        <family val="2"/>
        <charset val="1"/>
      </rPr>
      <t xml:space="preserve">Permeability [m</t>
    </r>
    <r>
      <rPr>
        <b val="true"/>
        <vertAlign val="superscript"/>
        <sz val="20"/>
        <color theme="1"/>
        <rFont val="Calibri"/>
        <family val="2"/>
        <charset val="1"/>
      </rPr>
      <t xml:space="preserve">2</t>
    </r>
    <r>
      <rPr>
        <b val="true"/>
        <sz val="20"/>
        <color theme="1"/>
        <rFont val="Calibri"/>
        <family val="2"/>
        <charset val="1"/>
      </rPr>
      <t xml:space="preserve">]</t>
    </r>
  </si>
  <si>
    <t xml:space="preserve">ffc-values [-]</t>
  </si>
  <si>
    <t xml:space="preserve">Dynamic angle of repose [°]</t>
  </si>
  <si>
    <t xml:space="preserve">Cohesion index [-]</t>
  </si>
  <si>
    <r>
      <rPr>
        <b val="true"/>
        <sz val="20"/>
        <color theme="1"/>
        <rFont val="Calibri"/>
        <family val="2"/>
        <charset val="1"/>
      </rPr>
      <t xml:space="preserve">Volume flow through orifice [cm</t>
    </r>
    <r>
      <rPr>
        <b val="true"/>
        <vertAlign val="superscript"/>
        <sz val="20"/>
        <color theme="1"/>
        <rFont val="Calibri"/>
        <family val="2"/>
        <charset val="1"/>
      </rPr>
      <t xml:space="preserve">3</t>
    </r>
    <r>
      <rPr>
        <b val="true"/>
        <sz val="20"/>
        <color theme="1"/>
        <rFont val="Calibri"/>
        <family val="2"/>
        <charset val="1"/>
      </rPr>
      <t xml:space="preserve">/s]</t>
    </r>
  </si>
  <si>
    <t xml:space="preserve">Compression stress [kPa]</t>
  </si>
  <si>
    <t xml:space="preserve">MCC fine</t>
  </si>
  <si>
    <t xml:space="preserve">Lactose-Anhydrate</t>
  </si>
  <si>
    <t xml:space="preserve">DCP</t>
  </si>
  <si>
    <t xml:space="preserve">TCC</t>
  </si>
  <si>
    <t xml:space="preserve">Pre shear normal stress [kPa]</t>
  </si>
  <si>
    <t xml:space="preserve">Rotational speed</t>
  </si>
  <si>
    <t xml:space="preserve">Orifice diameter</t>
  </si>
  <si>
    <t xml:space="preserve">no flow</t>
  </si>
  <si>
    <t xml:space="preserve">Paddle wheel geometry name</t>
  </si>
  <si>
    <t xml:space="preserve">Hub height [mm]</t>
  </si>
  <si>
    <t xml:space="preserve">Hub diameter [mm]</t>
  </si>
  <si>
    <t xml:space="preserve">Number of spokes</t>
  </si>
  <si>
    <t xml:space="preserve">Height of spokes [mm]</t>
  </si>
  <si>
    <t xml:space="preserve">Thickness of spokes [mm]</t>
  </si>
  <si>
    <t xml:space="preserve">Drawing</t>
  </si>
  <si>
    <t xml:space="preserve">Rectangular cranked 10 mm</t>
  </si>
  <si>
    <t xml:space="preserve">Rectangular cranked 5,5 mm</t>
  </si>
  <si>
    <t xml:space="preserve">Round cranked 10 mm</t>
  </si>
  <si>
    <t xml:space="preserve">Round cranked 5,5 mm</t>
  </si>
  <si>
    <t xml:space="preserve">Spider geometry</t>
  </si>
  <si>
    <t xml:space="preserve">Cut-out geometry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</si>
</sst>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E+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vertAlign val="superscript"/>
      <sz val="20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1"/>
      <name val="Aptos"/>
      <family val="2"/>
      <charset val="1"/>
    </font>
    <font>
      <sz val="10"/>
      <color theme="1"/>
      <name val="Aptos"/>
      <family val="2"/>
      <charset val="1"/>
    </font>
    <font>
      <sz val="12"/>
      <color theme="1"/>
      <name val="Aptos"/>
      <family val="2"/>
      <charset val="1"/>
    </font>
    <font>
      <sz val="20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999999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 style="thin">
        <color theme="4"/>
      </top>
      <bottom/>
      <diagonal/>
    </border>
    <border diagonalUp="false" diagonalDown="false">
      <left/>
      <right style="thin">
        <color theme="4"/>
      </right>
      <top style="thin">
        <color theme="4"/>
      </top>
      <bottom/>
      <diagonal/>
    </border>
    <border diagonalUp="false" diagonalDown="false">
      <left style="thin">
        <color theme="4"/>
      </left>
      <right/>
      <top/>
      <bottom/>
      <diagonal/>
    </border>
    <border diagonalUp="false" diagonalDown="false">
      <left/>
      <right style="thin">
        <color theme="4"/>
      </right>
      <top/>
      <bottom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 diagonalUp="false" diagonalDown="false"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 diagonalUp="false" diagonalDown="false">
      <left style="medium">
        <color rgb="FF999999"/>
      </left>
      <right style="medium">
        <color rgb="FF999999"/>
      </right>
      <top/>
      <bottom/>
      <diagonal/>
    </border>
    <border diagonalUp="false" diagonalDown="false">
      <left style="medium">
        <color rgb="FF999999"/>
      </left>
      <right style="medium">
        <color rgb="FF999999"/>
      </right>
      <top style="thick">
        <color rgb="FF666666"/>
      </top>
      <bottom style="medium">
        <color rgb="FF999999"/>
      </bottom>
      <diagonal/>
    </border>
    <border diagonalUp="false" diagonalDown="false"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183960</xdr:colOff>
      <xdr:row>7</xdr:row>
      <xdr:rowOff>4680</xdr:rowOff>
    </xdr:from>
    <xdr:to>
      <xdr:col>13</xdr:col>
      <xdr:colOff>237960</xdr:colOff>
      <xdr:row>13</xdr:row>
      <xdr:rowOff>142560</xdr:rowOff>
    </xdr:to>
    <xdr:pic>
      <xdr:nvPicPr>
        <xdr:cNvPr id="1" name="Grafik 3" descr=""/>
        <xdr:cNvPicPr/>
      </xdr:nvPicPr>
      <xdr:blipFill>
        <a:blip r:embed="rId1"/>
        <a:stretch/>
      </xdr:blipFill>
      <xdr:spPr>
        <a:xfrm rot="16200000">
          <a:off x="8218080" y="2232360"/>
          <a:ext cx="2044800" cy="155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8</xdr:col>
      <xdr:colOff>217080</xdr:colOff>
      <xdr:row>9</xdr:row>
      <xdr:rowOff>222120</xdr:rowOff>
    </xdr:from>
    <xdr:to>
      <xdr:col>10</xdr:col>
      <xdr:colOff>272520</xdr:colOff>
      <xdr:row>15</xdr:row>
      <xdr:rowOff>537120</xdr:rowOff>
    </xdr:to>
    <xdr:pic>
      <xdr:nvPicPr>
        <xdr:cNvPr id="2" name="Grafik 4" descr=""/>
        <xdr:cNvPicPr/>
      </xdr:nvPicPr>
      <xdr:blipFill>
        <a:blip r:embed="rId2"/>
        <a:stretch/>
      </xdr:blipFill>
      <xdr:spPr>
        <a:xfrm rot="16200000">
          <a:off x="5977440" y="3102480"/>
          <a:ext cx="2079360" cy="156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10</xdr:col>
      <xdr:colOff>441000</xdr:colOff>
      <xdr:row>12</xdr:row>
      <xdr:rowOff>107280</xdr:rowOff>
    </xdr:from>
    <xdr:to>
      <xdr:col>13</xdr:col>
      <xdr:colOff>554760</xdr:colOff>
      <xdr:row>17</xdr:row>
      <xdr:rowOff>172440</xdr:rowOff>
    </xdr:to>
    <xdr:pic>
      <xdr:nvPicPr>
        <xdr:cNvPr id="3" name="Grafik 5" descr=""/>
        <xdr:cNvPicPr/>
      </xdr:nvPicPr>
      <xdr:blipFill>
        <a:blip r:embed="rId3"/>
        <a:stretch/>
      </xdr:blipFill>
      <xdr:spPr>
        <a:xfrm rot="5400000">
          <a:off x="8367120" y="3407040"/>
          <a:ext cx="1568160" cy="23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8</xdr:col>
      <xdr:colOff>10440</xdr:colOff>
      <xdr:row>15</xdr:row>
      <xdr:rowOff>18360</xdr:rowOff>
    </xdr:from>
    <xdr:to>
      <xdr:col>10</xdr:col>
      <xdr:colOff>463680</xdr:colOff>
      <xdr:row>20</xdr:row>
      <xdr:rowOff>173880</xdr:rowOff>
    </xdr:to>
    <xdr:pic>
      <xdr:nvPicPr>
        <xdr:cNvPr id="4" name="Grafik 6" descr=""/>
        <xdr:cNvPicPr/>
      </xdr:nvPicPr>
      <xdr:blipFill>
        <a:blip r:embed="rId4"/>
        <a:stretch/>
      </xdr:blipFill>
      <xdr:spPr>
        <a:xfrm rot="5400000">
          <a:off x="6236280" y="4197600"/>
          <a:ext cx="1546200" cy="195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12</xdr:col>
      <xdr:colOff>356040</xdr:colOff>
      <xdr:row>3</xdr:row>
      <xdr:rowOff>165600</xdr:rowOff>
    </xdr:from>
    <xdr:to>
      <xdr:col>13</xdr:col>
      <xdr:colOff>281520</xdr:colOff>
      <xdr:row>5</xdr:row>
      <xdr:rowOff>270000</xdr:rowOff>
    </xdr:to>
    <xdr:cxnSp>
      <xdr:nvCxnSpPr>
        <xdr:cNvPr id="5" name="Gerade Verbindung mit Pfeil 6"/>
        <xdr:cNvCxnSpPr/>
      </xdr:nvCxnSpPr>
      <xdr:spPr>
        <a:xfrm flipH="1">
          <a:off x="9385920" y="737280"/>
          <a:ext cx="678240" cy="882360"/>
        </a:xfrm>
        <a:prstGeom prst="straightConnector1">
          <a:avLst/>
        </a:prstGeom>
        <a:ln w="3810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190440</xdr:colOff>
      <xdr:row>2</xdr:row>
      <xdr:rowOff>24840</xdr:rowOff>
    </xdr:from>
    <xdr:to>
      <xdr:col>14</xdr:col>
      <xdr:colOff>124920</xdr:colOff>
      <xdr:row>3</xdr:row>
      <xdr:rowOff>180720</xdr:rowOff>
    </xdr:to>
    <xdr:sp>
      <xdr:nvSpPr>
        <xdr:cNvPr id="6" name="Textfeld 7"/>
        <xdr:cNvSpPr/>
      </xdr:nvSpPr>
      <xdr:spPr>
        <a:xfrm>
          <a:off x="9972720" y="405720"/>
          <a:ext cx="686880" cy="346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de-DE" sz="2000" spc="-1" strike="noStrike">
              <a:solidFill>
                <a:schemeClr val="dk1"/>
              </a:solidFill>
              <a:latin typeface="Calibri"/>
            </a:rPr>
            <a:t>Hub</a:t>
          </a:r>
          <a:endParaRPr b="0" lang="en-US" sz="2000" spc="-1" strike="noStrike">
            <a:latin typeface="Calibri"/>
          </a:endParaRPr>
        </a:p>
      </xdr:txBody>
    </xdr:sp>
    <xdr:clientData/>
  </xdr:twoCellAnchor>
  <xdr:twoCellAnchor editAs="twoCell">
    <xdr:from>
      <xdr:col>13</xdr:col>
      <xdr:colOff>210240</xdr:colOff>
      <xdr:row>4</xdr:row>
      <xdr:rowOff>497880</xdr:rowOff>
    </xdr:from>
    <xdr:to>
      <xdr:col>14</xdr:col>
      <xdr:colOff>132480</xdr:colOff>
      <xdr:row>6</xdr:row>
      <xdr:rowOff>68040</xdr:rowOff>
    </xdr:to>
    <xdr:cxnSp>
      <xdr:nvCxnSpPr>
        <xdr:cNvPr id="7" name="Gerade Verbindung mit Pfeil 8"/>
        <xdr:cNvCxnSpPr/>
      </xdr:nvCxnSpPr>
      <xdr:spPr>
        <a:xfrm flipH="1">
          <a:off x="9992520" y="1260000"/>
          <a:ext cx="675000" cy="603000"/>
        </a:xfrm>
        <a:prstGeom prst="straightConnector1">
          <a:avLst/>
        </a:prstGeom>
        <a:ln w="3810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177120</xdr:colOff>
      <xdr:row>4</xdr:row>
      <xdr:rowOff>169920</xdr:rowOff>
    </xdr:from>
    <xdr:to>
      <xdr:col>15</xdr:col>
      <xdr:colOff>315360</xdr:colOff>
      <xdr:row>4</xdr:row>
      <xdr:rowOff>516600</xdr:rowOff>
    </xdr:to>
    <xdr:sp>
      <xdr:nvSpPr>
        <xdr:cNvPr id="8" name="Textfeld 9"/>
        <xdr:cNvSpPr/>
      </xdr:nvSpPr>
      <xdr:spPr>
        <a:xfrm>
          <a:off x="10711800" y="932040"/>
          <a:ext cx="890640" cy="346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de-DE" sz="2000" spc="-1" strike="noStrike">
              <a:solidFill>
                <a:schemeClr val="dk1"/>
              </a:solidFill>
              <a:latin typeface="Calibri"/>
            </a:rPr>
            <a:t>Spoke</a:t>
          </a:r>
          <a:endParaRPr b="0" lang="en-US" sz="2000" spc="-1" strike="noStrike">
            <a:latin typeface="Calibri"/>
          </a:endParaRPr>
        </a:p>
      </xdr:txBody>
    </xdr:sp>
    <xdr:clientData/>
  </xdr:twoCellAnchor>
  <xdr:twoCellAnchor editAs="twoCell">
    <xdr:from>
      <xdr:col>10</xdr:col>
      <xdr:colOff>403200</xdr:colOff>
      <xdr:row>12</xdr:row>
      <xdr:rowOff>88200</xdr:rowOff>
    </xdr:from>
    <xdr:to>
      <xdr:col>13</xdr:col>
      <xdr:colOff>516960</xdr:colOff>
      <xdr:row>17</xdr:row>
      <xdr:rowOff>105840</xdr:rowOff>
    </xdr:to>
    <xdr:pic>
      <xdr:nvPicPr>
        <xdr:cNvPr id="9" name="Grafik 5" descr=""/>
        <xdr:cNvPicPr/>
      </xdr:nvPicPr>
      <xdr:blipFill>
        <a:blip r:embed="rId5"/>
        <a:stretch/>
      </xdr:blipFill>
      <xdr:spPr>
        <a:xfrm rot="5400000">
          <a:off x="8353080" y="3364200"/>
          <a:ext cx="1520640" cy="23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7</xdr:col>
      <xdr:colOff>734760</xdr:colOff>
      <xdr:row>15</xdr:row>
      <xdr:rowOff>-720</xdr:rowOff>
    </xdr:from>
    <xdr:to>
      <xdr:col>10</xdr:col>
      <xdr:colOff>425880</xdr:colOff>
      <xdr:row>20</xdr:row>
      <xdr:rowOff>154800</xdr:rowOff>
    </xdr:to>
    <xdr:pic>
      <xdr:nvPicPr>
        <xdr:cNvPr id="10" name="Grafik 6" descr=""/>
        <xdr:cNvPicPr/>
      </xdr:nvPicPr>
      <xdr:blipFill>
        <a:blip r:embed="rId6"/>
        <a:stretch/>
      </xdr:blipFill>
      <xdr:spPr>
        <a:xfrm rot="5400000">
          <a:off x="6203160" y="4183200"/>
          <a:ext cx="1546200" cy="1948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le3" displayName="Tabelle3" ref="B5:L16" headerRowCount="1" totalsRowCount="0" totalsRowShown="0">
  <autoFilter ref="B5:L16"/>
  <tableColumns count="11">
    <tableColumn id="1" name="Spalte1"/>
    <tableColumn id="2" name="Bulk density [g/cm3]"/>
    <tableColumn id="3" name="Tapped density [g/cm3]"/>
    <tableColumn id="4" name="Hausner ratio [-]"/>
    <tableColumn id="5" name="True density [g/cm3]"/>
    <tableColumn id="6" name="Flow function coefficient (4kPa preshear normal stress) [-]"/>
    <tableColumn id="7" name="Static angle of repose [°]"/>
    <tableColumn id="8" name="Dynamic angle of repose (5 rpm) [°]"/>
    <tableColumn id="9" name="Cohesion index (5 rpm) [-]"/>
    <tableColumn id="10" name="Volume flow through an orifice (d = 25 mm)[cm3/s]"/>
    <tableColumn id="11" name="Permeability (5kPa compression stress)[m2]"/>
  </tableColumns>
</table>
</file>

<file path=xl/tables/table2.xml><?xml version="1.0" encoding="utf-8"?>
<table xmlns="http://schemas.openxmlformats.org/spreadsheetml/2006/main" id="2" name="Tabelle5" displayName="Tabelle5" ref="B7:L12" headerRowCount="1" totalsRowCount="0" totalsRowShown="0">
  <autoFilter ref="B7:L12"/>
  <tableColumns count="11">
    <tableColumn id="1" name="Compression stress [kPa]"/>
    <tableColumn id="2" name="MCC coarse"/>
    <tableColumn id="3" name="MCC fine"/>
    <tableColumn id="4" name="Lactose-Anhydrate"/>
    <tableColumn id="5" name="DCP"/>
    <tableColumn id="6" name="TCC"/>
    <tableColumn id="7" name="Powdered Cellulose (Arbocel P290)"/>
    <tableColumn id="8" name="MCC finest (Vivapur 120)"/>
    <tableColumn id="9" name="MCC finest + Pellets (10%Cellets700 10%Vivapur101 80%Vivapur102)"/>
    <tableColumn id="10" name="HPMC (60% Tylopur 90SH 40% Vivapur120)"/>
    <tableColumn id="11" name="CaCO3(50% MagGranCC 39% TCC 10% MCC Vivapur 120 1% MgSt)"/>
  </tableColumns>
</table>
</file>

<file path=xl/tables/table3.xml><?xml version="1.0" encoding="utf-8"?>
<table xmlns="http://schemas.openxmlformats.org/spreadsheetml/2006/main" id="3" name="Tabelle6" displayName="Tabelle6" ref="N7:X11" headerRowCount="1" totalsRowCount="0" totalsRowShown="0">
  <autoFilter ref="N7:X11"/>
  <tableColumns count="11">
    <tableColumn id="1" name="Pre shear normal stress [kPa]"/>
    <tableColumn id="2" name="MCC coarse"/>
    <tableColumn id="3" name="MCC fine"/>
    <tableColumn id="4" name="Lactose-Anhydrate"/>
    <tableColumn id="5" name="DCP"/>
    <tableColumn id="6" name="TCC"/>
    <tableColumn id="7" name="Powdered Cellulose (Arbocel P290)"/>
    <tableColumn id="8" name="MCC finest (Vivapur 120)"/>
    <tableColumn id="9" name="MCC finest + Pellets (10%Cellets700 10%Vivapur101 80%Vivapur102)"/>
    <tableColumn id="10" name="HPMC (60% Tylopur 90SH 40% Vivapur120)"/>
    <tableColumn id="11" name="CaCO3(50% MagGranCC 39% TCC 10% MCC Vivapur 120 1% MgSt)"/>
  </tableColumns>
</table>
</file>

<file path=xl/tables/table4.xml><?xml version="1.0" encoding="utf-8"?>
<table xmlns="http://schemas.openxmlformats.org/spreadsheetml/2006/main" id="4" name="Tabelle7" displayName="Tabelle7" ref="Z7:AJ17" headerRowCount="1" totalsRowCount="0" totalsRowShown="0">
  <autoFilter ref="Z7:AJ17"/>
  <tableColumns count="11">
    <tableColumn id="1" name="Rotational speed"/>
    <tableColumn id="2" name="MCC coarse"/>
    <tableColumn id="3" name="MCC fine"/>
    <tableColumn id="4" name="Lactose-Anhydrate"/>
    <tableColumn id="5" name="DCP"/>
    <tableColumn id="6" name="TCC"/>
    <tableColumn id="7" name="Powdered Cellulose (Arbocel P290)"/>
    <tableColumn id="8" name="MCC finest (Vivapur 120)"/>
    <tableColumn id="9" name="MCC finest + Pellets (10%Cellets700 10%Vivapur101 80%Vivapur102)"/>
    <tableColumn id="10" name="HPMC (60% Tylopur 90SH 40% Vivapur120)"/>
    <tableColumn id="11" name="CaCO3(50% MagGranCC 39% TCC 10% MCC Vivapur 120 1% MgSt)"/>
  </tableColumns>
</table>
</file>

<file path=xl/tables/table5.xml><?xml version="1.0" encoding="utf-8"?>
<table xmlns="http://schemas.openxmlformats.org/spreadsheetml/2006/main" id="5" name="Tabelle8" displayName="Tabelle8" ref="AL7:AV17" headerRowCount="1" totalsRowCount="0" totalsRowShown="0">
  <autoFilter ref="AL7:AV17"/>
  <tableColumns count="11">
    <tableColumn id="1" name="Rotational speed"/>
    <tableColumn id="2" name="MCC coarse"/>
    <tableColumn id="3" name="MCC fine"/>
    <tableColumn id="4" name="Lactose-Anhydrate"/>
    <tableColumn id="5" name="DCP"/>
    <tableColumn id="6" name="TCC"/>
    <tableColumn id="7" name="Powdered Cellulose (Arbocel P290)"/>
    <tableColumn id="8" name="MCC finest (Vivapur 120)"/>
    <tableColumn id="9" name="MCC finest + Pellets (10%Cellets700 10%Vivapur101 80%Vivapur102)"/>
    <tableColumn id="10" name="HPMC (60% Tylopur 90SH 40% Vivapur120)"/>
    <tableColumn id="11" name="CaCO3(50% MagGranCC 39% TCC 10% MCC Vivapur 120 1% MgSt)"/>
  </tableColumns>
</table>
</file>

<file path=xl/tables/table6.xml><?xml version="1.0" encoding="utf-8"?>
<table xmlns="http://schemas.openxmlformats.org/spreadsheetml/2006/main" id="6" name="Tabelle9" displayName="Tabelle9" ref="AX7:BH13" headerRowCount="1" totalsRowCount="0" totalsRowShown="0">
  <autoFilter ref="AX7:BH13"/>
  <tableColumns count="11">
    <tableColumn id="1" name="Orifice diameter"/>
    <tableColumn id="2" name="MCC coarse"/>
    <tableColumn id="3" name="MCC fine"/>
    <tableColumn id="4" name="Lactose-Anhydrate"/>
    <tableColumn id="5" name="DCP"/>
    <tableColumn id="6" name="TCC"/>
    <tableColumn id="7" name="Powdered Cellulose (Arbocel P290)"/>
    <tableColumn id="8" name="MCC finest (Vivapur 120)"/>
    <tableColumn id="9" name="MCC finest + Pellets (10%Cellets700 10%Vivapur101 80%Vivapur102)"/>
    <tableColumn id="10" name="HPMC (60% Tylopur 90SH 40% Vivapur120)"/>
    <tableColumn id="11" name="CaCO3(50% MagGranCC 39% TCC 10% MCC Vivapur 120 1% MgSt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6.57"/>
    <col collapsed="false" customWidth="true" hidden="false" outlineLevel="0" max="3" min="3" style="1" width="21"/>
    <col collapsed="false" customWidth="true" hidden="false" outlineLevel="0" max="4" min="4" style="1" width="23.71"/>
    <col collapsed="false" customWidth="true" hidden="false" outlineLevel="0" max="5" min="5" style="1" width="17.57"/>
    <col collapsed="false" customWidth="true" hidden="false" outlineLevel="0" max="6" min="6" style="1" width="21.14"/>
    <col collapsed="false" customWidth="true" hidden="false" outlineLevel="0" max="7" min="7" style="1" width="54.43"/>
    <col collapsed="false" customWidth="true" hidden="false" outlineLevel="0" max="8" min="8" style="1" width="24.71"/>
    <col collapsed="false" customWidth="true" hidden="false" outlineLevel="0" max="9" min="9" style="1" width="34.29"/>
    <col collapsed="false" customWidth="true" hidden="false" outlineLevel="0" max="10" min="10" style="1" width="26.29"/>
    <col collapsed="false" customWidth="true" hidden="false" outlineLevel="0" max="11" min="11" style="1" width="47.86"/>
    <col collapsed="false" customWidth="true" hidden="false" outlineLevel="0" max="12" min="12" style="1" width="41.71"/>
  </cols>
  <sheetData>
    <row r="4" customFormat="false" ht="15" hidden="false" customHeight="false" outlineLevel="0" collapsed="false">
      <c r="G4" s="2" t="s">
        <v>0</v>
      </c>
      <c r="H4" s="2"/>
      <c r="I4" s="2"/>
      <c r="J4" s="2"/>
      <c r="K4" s="2"/>
      <c r="M4" s="1"/>
      <c r="N4" s="1"/>
    </row>
    <row r="5" customFormat="false" ht="15" hidden="false" customHeight="false" outlineLevel="0" collapsed="false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</row>
    <row r="6" customFormat="false" ht="15" hidden="false" customHeight="false" outlineLevel="0" collapsed="false">
      <c r="B6" s="5" t="s">
        <v>12</v>
      </c>
    </row>
    <row r="7" customFormat="false" ht="15" hidden="false" customHeight="false" outlineLevel="0" collapsed="false">
      <c r="B7" s="1" t="s">
        <v>13</v>
      </c>
      <c r="C7" s="1" t="n">
        <v>0.736766666666667</v>
      </c>
      <c r="D7" s="1" t="n">
        <v>0.853397683397683</v>
      </c>
      <c r="E7" s="1" t="n">
        <f aca="false">D7/C7</f>
        <v>1.15830115830116</v>
      </c>
      <c r="F7" s="1" t="n">
        <v>2.80936666666667</v>
      </c>
      <c r="G7" s="1" t="n">
        <v>33.084</v>
      </c>
      <c r="H7" s="6" t="n">
        <v>39.1</v>
      </c>
      <c r="I7" s="1" t="n">
        <v>46.33</v>
      </c>
      <c r="J7" s="1" t="n">
        <v>11.32</v>
      </c>
      <c r="K7" s="1" t="n">
        <v>145.42305</v>
      </c>
      <c r="L7" s="7" t="n">
        <v>4.0223E-012</v>
      </c>
    </row>
    <row r="8" customFormat="false" ht="15" hidden="false" customHeight="false" outlineLevel="0" collapsed="false">
      <c r="B8" s="1" t="s">
        <v>14</v>
      </c>
      <c r="C8" s="1" t="n">
        <v>0.6118</v>
      </c>
      <c r="D8" s="1" t="n">
        <v>0.69</v>
      </c>
      <c r="E8" s="1" t="n">
        <f aca="false">D8/C8</f>
        <v>1.12781954887218</v>
      </c>
      <c r="F8" s="1" t="n">
        <v>1.95156666666667</v>
      </c>
      <c r="G8" s="1" t="n">
        <v>16.535</v>
      </c>
      <c r="H8" s="6" t="n">
        <v>41.46667</v>
      </c>
      <c r="I8" s="1" t="n">
        <v>47.04</v>
      </c>
      <c r="J8" s="1" t="n">
        <v>18.67</v>
      </c>
      <c r="K8" s="1" t="n">
        <v>67.1721</v>
      </c>
      <c r="L8" s="7" t="n">
        <v>1.94597E-012</v>
      </c>
    </row>
    <row r="9" customFormat="false" ht="15" hidden="false" customHeight="false" outlineLevel="0" collapsed="false">
      <c r="B9" s="1" t="s">
        <v>15</v>
      </c>
      <c r="C9" s="1" t="n">
        <v>0.742</v>
      </c>
      <c r="D9" s="1" t="n">
        <v>0.923651452282158</v>
      </c>
      <c r="E9" s="1" t="n">
        <f aca="false">D9/C9</f>
        <v>1.2448132780083</v>
      </c>
      <c r="F9" s="1" t="n">
        <v>1.57316666666667</v>
      </c>
      <c r="G9" s="1" t="n">
        <v>6.55</v>
      </c>
      <c r="H9" s="6" t="n">
        <v>48.1</v>
      </c>
      <c r="I9" s="1" t="n">
        <v>55.05</v>
      </c>
      <c r="J9" s="1" t="n">
        <v>28.2</v>
      </c>
      <c r="K9" s="1" t="n">
        <v>19.91688</v>
      </c>
      <c r="L9" s="7" t="n">
        <v>5.8152E-013</v>
      </c>
    </row>
    <row r="10" customFormat="false" ht="15" hidden="false" customHeight="false" outlineLevel="0" collapsed="false">
      <c r="B10" s="1" t="s">
        <v>16</v>
      </c>
      <c r="C10" s="1" t="n">
        <v>0.395066666666667</v>
      </c>
      <c r="D10" s="1" t="n">
        <v>0.497983193277311</v>
      </c>
      <c r="E10" s="1" t="n">
        <f aca="false">D10/C10</f>
        <v>1.26050420168067</v>
      </c>
      <c r="F10" s="1" t="n">
        <v>1.54596666666667</v>
      </c>
      <c r="G10" s="1" t="n">
        <v>9.348</v>
      </c>
      <c r="H10" s="6" t="n">
        <v>41.73333</v>
      </c>
      <c r="I10" s="1" t="n">
        <v>49.13</v>
      </c>
      <c r="J10" s="1" t="n">
        <v>14.85</v>
      </c>
      <c r="K10" s="1" t="n">
        <v>81.65221</v>
      </c>
      <c r="L10" s="7" t="n">
        <v>3.81993E-012</v>
      </c>
    </row>
    <row r="11" customFormat="false" ht="15" hidden="false" customHeight="false" outlineLevel="0" collapsed="false">
      <c r="B11" s="1" t="s">
        <v>17</v>
      </c>
      <c r="C11" s="1" t="n">
        <v>0.4003</v>
      </c>
      <c r="D11" s="1" t="n">
        <v>0.533733333333333</v>
      </c>
      <c r="E11" s="1" t="n">
        <f aca="false">D11/C11</f>
        <v>1.33333333333333</v>
      </c>
      <c r="F11" s="1" t="n">
        <v>1.5436</v>
      </c>
      <c r="G11" s="1" t="n">
        <v>5.599</v>
      </c>
      <c r="H11" s="6" t="n">
        <v>45.23333</v>
      </c>
      <c r="I11" s="1" t="n">
        <v>56.31</v>
      </c>
      <c r="J11" s="1" t="n">
        <v>27.68</v>
      </c>
      <c r="K11" s="1" t="n">
        <v>29.50543</v>
      </c>
      <c r="L11" s="7" t="n">
        <v>2.0557E-012</v>
      </c>
    </row>
    <row r="12" customFormat="false" ht="15" hidden="false" customHeight="false" outlineLevel="0" collapsed="false">
      <c r="B12" s="1" t="s">
        <v>18</v>
      </c>
      <c r="C12" s="1" t="n">
        <v>0.336103703703704</v>
      </c>
      <c r="D12" s="1" t="n">
        <v>0.485554398571023</v>
      </c>
      <c r="E12" s="1" t="n">
        <f aca="false">D12/C12</f>
        <v>1.44465649506519</v>
      </c>
      <c r="G12" s="1" t="n">
        <v>4.63</v>
      </c>
      <c r="H12" s="6" t="n">
        <v>45.3666666666667</v>
      </c>
      <c r="I12" s="1" t="n">
        <v>60.4388433628823</v>
      </c>
      <c r="J12" s="1" t="n">
        <v>28.271509307839</v>
      </c>
      <c r="K12" s="1" t="n">
        <v>41.3232247542646</v>
      </c>
      <c r="L12" s="7" t="n">
        <v>2.998E-012</v>
      </c>
    </row>
    <row r="13" customFormat="false" ht="15" hidden="false" customHeight="false" outlineLevel="0" collapsed="false">
      <c r="B13" s="1" t="s">
        <v>19</v>
      </c>
      <c r="C13" s="1" t="n">
        <v>0.328957095709571</v>
      </c>
      <c r="D13" s="1" t="n">
        <v>0.448038997902012</v>
      </c>
      <c r="E13" s="1" t="n">
        <f aca="false">D13/C13</f>
        <v>1.36199827802947</v>
      </c>
      <c r="G13" s="1" t="n">
        <v>5.68</v>
      </c>
      <c r="H13" s="6" t="n">
        <v>39.9333333333333</v>
      </c>
      <c r="I13" s="1" t="n">
        <v>52.331812235038</v>
      </c>
      <c r="J13" s="1" t="n">
        <v>21.7371753316072</v>
      </c>
      <c r="K13" s="1" t="n">
        <v>55.5742249899205</v>
      </c>
      <c r="L13" s="7" t="n">
        <v>3.4867E-012</v>
      </c>
    </row>
    <row r="14" customFormat="false" ht="15" hidden="false" customHeight="false" outlineLevel="0" collapsed="false">
      <c r="B14" s="1" t="s">
        <v>20</v>
      </c>
      <c r="C14" s="1" t="n">
        <v>0.369066666666667</v>
      </c>
      <c r="D14" s="1" t="n">
        <v>0.494281081081081</v>
      </c>
      <c r="E14" s="1" t="n">
        <f aca="false">D14/C14</f>
        <v>1.33927316044368</v>
      </c>
      <c r="G14" s="1" t="n">
        <v>6.57</v>
      </c>
      <c r="H14" s="6" t="n">
        <v>39.6666666666667</v>
      </c>
      <c r="I14" s="1" t="n">
        <v>53.9728237295178</v>
      </c>
      <c r="J14" s="1" t="n">
        <v>24.9930705140424</v>
      </c>
      <c r="K14" s="1" t="n">
        <v>45.1589595375723</v>
      </c>
      <c r="L14" s="7" t="n">
        <v>3.35383333333333E-012</v>
      </c>
    </row>
    <row r="15" customFormat="false" ht="15" hidden="false" customHeight="false" outlineLevel="0" collapsed="false">
      <c r="B15" s="1" t="s">
        <v>21</v>
      </c>
      <c r="C15" s="1" t="n">
        <v>0.3316</v>
      </c>
      <c r="D15" s="1" t="n">
        <v>0.4460996996997</v>
      </c>
      <c r="E15" s="1" t="n">
        <f aca="false">D15/C15</f>
        <v>1.34529463118124</v>
      </c>
      <c r="G15" s="1" t="n">
        <v>6.35</v>
      </c>
      <c r="H15" s="6" t="n">
        <v>42.3</v>
      </c>
      <c r="I15" s="1" t="n">
        <v>59.0103921854747</v>
      </c>
      <c r="J15" s="1" t="n">
        <v>26.9280087842356</v>
      </c>
      <c r="K15" s="1" t="n">
        <v>31.9683555904129</v>
      </c>
      <c r="L15" s="7" t="n">
        <v>3.02993333333333E-012</v>
      </c>
    </row>
    <row r="16" customFormat="false" ht="15" hidden="false" customHeight="false" outlineLevel="0" collapsed="false">
      <c r="B16" s="1" t="s">
        <v>22</v>
      </c>
      <c r="C16" s="1" t="n">
        <v>0.676733333333333</v>
      </c>
      <c r="D16" s="1" t="n">
        <v>0.867606837606838</v>
      </c>
      <c r="E16" s="1" t="n">
        <f aca="false">D16/C16</f>
        <v>1.28205128205128</v>
      </c>
      <c r="G16" s="1" t="n">
        <v>7.03</v>
      </c>
      <c r="H16" s="6" t="n">
        <v>42</v>
      </c>
      <c r="I16" s="1" t="n">
        <v>55.995153307349</v>
      </c>
      <c r="J16" s="1" t="n">
        <v>27.763630674408</v>
      </c>
      <c r="K16" s="1" t="n">
        <v>43.4613802175387</v>
      </c>
      <c r="L16" s="7" t="n">
        <v>9.29543333333333E-013</v>
      </c>
    </row>
  </sheetData>
  <mergeCells count="1">
    <mergeCell ref="G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2.42"/>
    <col collapsed="false" customWidth="true" hidden="false" outlineLevel="0" max="2" min="2" style="1" width="25.29"/>
    <col collapsed="false" customWidth="true" hidden="false" outlineLevel="0" max="3" min="3" style="1" width="13.29"/>
    <col collapsed="false" customWidth="true" hidden="false" outlineLevel="0" max="5" min="5" style="1" width="19.71"/>
    <col collapsed="false" customWidth="true" hidden="false" outlineLevel="0" max="8" min="8" style="1" width="35.57"/>
    <col collapsed="false" customWidth="true" hidden="false" outlineLevel="0" max="9" min="9" style="1" width="18.71"/>
    <col collapsed="false" customWidth="true" hidden="false" outlineLevel="0" max="10" min="10" style="1" width="29.71"/>
    <col collapsed="false" customWidth="true" hidden="false" outlineLevel="0" max="11" min="11" style="1" width="19.42"/>
    <col collapsed="false" customWidth="true" hidden="false" outlineLevel="0" max="12" min="12" style="1" width="21.84"/>
    <col collapsed="false" customWidth="true" hidden="false" outlineLevel="0" max="14" min="14" style="1" width="28.71"/>
    <col collapsed="false" customWidth="true" hidden="false" outlineLevel="0" max="15" min="15" style="1" width="13.42"/>
    <col collapsed="false" customWidth="true" hidden="false" outlineLevel="0" max="17" min="17" style="1" width="19.71"/>
    <col collapsed="false" customWidth="true" hidden="false" outlineLevel="0" max="20" min="20" style="1" width="30"/>
    <col collapsed="false" customWidth="true" hidden="false" outlineLevel="0" max="22" min="21" style="1" width="23.14"/>
    <col collapsed="false" customWidth="true" hidden="false" outlineLevel="0" max="23" min="23" style="1" width="23"/>
    <col collapsed="false" customWidth="true" hidden="false" outlineLevel="0" max="24" min="24" style="1" width="23.42"/>
    <col collapsed="false" customWidth="true" hidden="false" outlineLevel="0" max="26" min="26" style="1" width="27.42"/>
    <col collapsed="false" customWidth="true" hidden="false" outlineLevel="0" max="27" min="27" style="1" width="13.42"/>
    <col collapsed="false" customWidth="true" hidden="false" outlineLevel="0" max="29" min="29" style="1" width="19.71"/>
    <col collapsed="false" customWidth="true" hidden="false" outlineLevel="0" max="32" min="32" style="1" width="24.86"/>
    <col collapsed="false" customWidth="true" hidden="false" outlineLevel="0" max="35" min="33" style="1" width="22.42"/>
    <col collapsed="false" customWidth="true" hidden="false" outlineLevel="0" max="36" min="36" style="1" width="23.71"/>
    <col collapsed="false" customWidth="true" hidden="false" outlineLevel="0" max="38" min="38" style="1" width="18.14"/>
    <col collapsed="false" customWidth="true" hidden="false" outlineLevel="0" max="39" min="39" style="1" width="13.42"/>
    <col collapsed="false" customWidth="true" hidden="false" outlineLevel="0" max="41" min="41" style="1" width="19.71"/>
    <col collapsed="false" customWidth="true" hidden="false" outlineLevel="0" max="44" min="44" style="1" width="23"/>
    <col collapsed="false" customWidth="true" hidden="false" outlineLevel="0" max="46" min="45" style="1" width="21.84"/>
    <col collapsed="false" customWidth="true" hidden="false" outlineLevel="0" max="47" min="47" style="1" width="20.42"/>
    <col collapsed="false" customWidth="true" hidden="false" outlineLevel="0" max="48" min="48" style="1" width="27.71"/>
    <col collapsed="false" customWidth="true" hidden="false" outlineLevel="0" max="50" min="50" style="1" width="35.57"/>
    <col collapsed="false" customWidth="true" hidden="false" outlineLevel="0" max="51" min="51" style="1" width="17"/>
    <col collapsed="false" customWidth="true" hidden="false" outlineLevel="0" max="52" min="52" style="1" width="13.42"/>
    <col collapsed="false" customWidth="true" hidden="false" outlineLevel="0" max="53" min="53" style="1" width="25.57"/>
    <col collapsed="false" customWidth="true" hidden="false" outlineLevel="0" max="56" min="56" style="1" width="23"/>
    <col collapsed="false" customWidth="true" hidden="false" outlineLevel="0" max="58" min="57" style="1" width="17.57"/>
    <col collapsed="false" customWidth="true" hidden="false" outlineLevel="0" max="59" min="59" style="1" width="17.71"/>
    <col collapsed="false" customWidth="true" hidden="false" outlineLevel="0" max="60" min="60" style="1" width="19.14"/>
  </cols>
  <sheetData>
    <row r="3" customFormat="false" ht="41.75" hidden="false" customHeight="false" outlineLevel="0" collapsed="false">
      <c r="A3" s="8" t="s">
        <v>23</v>
      </c>
      <c r="N3" s="8" t="s">
        <v>24</v>
      </c>
      <c r="Z3" s="9" t="s">
        <v>25</v>
      </c>
      <c r="AL3" s="8" t="s">
        <v>26</v>
      </c>
      <c r="AX3" s="9" t="s">
        <v>27</v>
      </c>
    </row>
    <row r="6" customFormat="false" ht="15" hidden="false" customHeight="false" outlineLevel="0" collapsed="false">
      <c r="P6" s="1"/>
      <c r="R6" s="1"/>
      <c r="S6" s="1"/>
      <c r="Y6" s="1"/>
    </row>
    <row r="7" customFormat="false" ht="15" hidden="false" customHeight="false" outlineLevel="0" collapsed="false">
      <c r="B7" s="3" t="s">
        <v>28</v>
      </c>
      <c r="C7" s="3" t="s">
        <v>16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  <c r="N7" s="3" t="s">
        <v>33</v>
      </c>
      <c r="O7" s="10" t="s">
        <v>16</v>
      </c>
      <c r="P7" s="10" t="s">
        <v>29</v>
      </c>
      <c r="Q7" s="10" t="s">
        <v>30</v>
      </c>
      <c r="R7" s="10" t="s">
        <v>31</v>
      </c>
      <c r="S7" s="11" t="s">
        <v>32</v>
      </c>
      <c r="T7" s="12" t="s">
        <v>18</v>
      </c>
      <c r="U7" s="12" t="s">
        <v>19</v>
      </c>
      <c r="V7" s="3" t="s">
        <v>20</v>
      </c>
      <c r="W7" s="12" t="s">
        <v>21</v>
      </c>
      <c r="X7" s="12" t="s">
        <v>22</v>
      </c>
      <c r="Y7" s="1"/>
      <c r="Z7" s="3" t="s">
        <v>34</v>
      </c>
      <c r="AA7" s="10" t="s">
        <v>16</v>
      </c>
      <c r="AB7" s="10" t="s">
        <v>29</v>
      </c>
      <c r="AC7" s="10" t="s">
        <v>30</v>
      </c>
      <c r="AD7" s="10" t="s">
        <v>31</v>
      </c>
      <c r="AE7" s="11" t="s">
        <v>32</v>
      </c>
      <c r="AF7" s="12" t="s">
        <v>18</v>
      </c>
      <c r="AG7" s="12" t="s">
        <v>19</v>
      </c>
      <c r="AH7" s="3" t="s">
        <v>20</v>
      </c>
      <c r="AI7" s="12" t="s">
        <v>21</v>
      </c>
      <c r="AJ7" s="12" t="s">
        <v>22</v>
      </c>
      <c r="AL7" s="13" t="s">
        <v>34</v>
      </c>
      <c r="AM7" s="14" t="s">
        <v>16</v>
      </c>
      <c r="AN7" s="14" t="s">
        <v>29</v>
      </c>
      <c r="AO7" s="14" t="s">
        <v>30</v>
      </c>
      <c r="AP7" s="14" t="s">
        <v>31</v>
      </c>
      <c r="AQ7" s="15" t="s">
        <v>32</v>
      </c>
      <c r="AR7" s="12" t="s">
        <v>18</v>
      </c>
      <c r="AS7" s="12" t="s">
        <v>19</v>
      </c>
      <c r="AT7" s="3" t="s">
        <v>20</v>
      </c>
      <c r="AU7" s="12" t="s">
        <v>21</v>
      </c>
      <c r="AV7" s="12" t="s">
        <v>22</v>
      </c>
      <c r="AX7" s="3" t="s">
        <v>35</v>
      </c>
      <c r="AY7" s="10" t="s">
        <v>16</v>
      </c>
      <c r="AZ7" s="10" t="s">
        <v>29</v>
      </c>
      <c r="BA7" s="10" t="s">
        <v>30</v>
      </c>
      <c r="BB7" s="10" t="s">
        <v>31</v>
      </c>
      <c r="BC7" s="11" t="s">
        <v>32</v>
      </c>
      <c r="BD7" s="12" t="s">
        <v>18</v>
      </c>
      <c r="BE7" s="12" t="s">
        <v>19</v>
      </c>
      <c r="BF7" s="3" t="s">
        <v>20</v>
      </c>
      <c r="BG7" s="12" t="s">
        <v>21</v>
      </c>
      <c r="BH7" s="12" t="s">
        <v>22</v>
      </c>
    </row>
    <row r="8" customFormat="false" ht="15" hidden="false" customHeight="false" outlineLevel="0" collapsed="false">
      <c r="B8" s="1" t="n">
        <v>1</v>
      </c>
      <c r="C8" s="7" t="n">
        <v>4.48523E-012</v>
      </c>
      <c r="D8" s="7" t="n">
        <v>2.76897E-012</v>
      </c>
      <c r="E8" s="7" t="n">
        <v>1.14218E-012</v>
      </c>
      <c r="F8" s="7" t="n">
        <v>4.48597E-012</v>
      </c>
      <c r="G8" s="7" t="n">
        <v>2.3083E-012</v>
      </c>
      <c r="H8" s="7" t="n">
        <v>4.8153E-012</v>
      </c>
      <c r="I8" s="7" t="n">
        <v>4.72893333333333E-012</v>
      </c>
      <c r="J8" s="7" t="n">
        <v>4.35786666666667E-012</v>
      </c>
      <c r="K8" s="7" t="n">
        <v>3.80503333333333E-012</v>
      </c>
      <c r="L8" s="7" t="n">
        <v>2.92673333333333E-012</v>
      </c>
      <c r="N8" s="1" t="n">
        <v>1</v>
      </c>
      <c r="O8" s="1" t="n">
        <v>8.24705882352941</v>
      </c>
      <c r="P8" s="1" t="n">
        <v>4.32854209445585</v>
      </c>
      <c r="Q8" s="1" t="n">
        <v>4.17353579175705</v>
      </c>
      <c r="R8" s="1" t="n">
        <v>18.4285714285714</v>
      </c>
      <c r="S8" s="1" t="n">
        <v>8.21818181818182</v>
      </c>
      <c r="T8" s="1" t="n">
        <v>4.07</v>
      </c>
      <c r="U8" s="1" t="n">
        <v>4.13</v>
      </c>
      <c r="V8" s="1" t="n">
        <v>5.27</v>
      </c>
      <c r="W8" s="1" t="n">
        <v>4.96</v>
      </c>
      <c r="Y8" s="1"/>
      <c r="Z8" s="1" t="n">
        <v>2</v>
      </c>
      <c r="AA8" s="1" t="n">
        <v>46.4</v>
      </c>
      <c r="AB8" s="1" t="n">
        <v>60.71</v>
      </c>
      <c r="AC8" s="1" t="n">
        <v>54.07</v>
      </c>
      <c r="AD8" s="1" t="n">
        <v>41.65</v>
      </c>
      <c r="AE8" s="1" t="n">
        <v>45.33</v>
      </c>
      <c r="AF8" s="1" t="n">
        <v>61.7374795011434</v>
      </c>
      <c r="AG8" s="1" t="n">
        <v>52.0439511045881</v>
      </c>
      <c r="AH8" s="1" t="n">
        <v>51.9482457011744</v>
      </c>
      <c r="AI8" s="1" t="n">
        <v>65.9331886236822</v>
      </c>
      <c r="AJ8" s="1" t="n">
        <v>59.5447857466682</v>
      </c>
      <c r="AL8" s="1" t="n">
        <v>2</v>
      </c>
      <c r="AM8" s="1" t="n">
        <v>11.3</v>
      </c>
      <c r="AN8" s="1" t="n">
        <v>25.61</v>
      </c>
      <c r="AP8" s="1" t="n">
        <v>8.97</v>
      </c>
      <c r="AQ8" s="1" t="n">
        <v>15.12</v>
      </c>
      <c r="AR8" s="1" t="n">
        <v>24.2723039992136</v>
      </c>
      <c r="AS8" s="1" t="n">
        <v>17.3609898953506</v>
      </c>
      <c r="AT8" s="1" t="n">
        <v>17.9299068824502</v>
      </c>
      <c r="AU8" s="1" t="n">
        <v>19.0217147357463</v>
      </c>
      <c r="AV8" s="1" t="n">
        <v>22.8944714417628</v>
      </c>
      <c r="AX8" s="1" t="n">
        <v>6</v>
      </c>
      <c r="AY8" s="1" t="n">
        <v>2.64403</v>
      </c>
      <c r="AZ8" s="3" t="s">
        <v>36</v>
      </c>
      <c r="BA8" s="3" t="s">
        <v>36</v>
      </c>
      <c r="BB8" s="1" t="n">
        <v>3.30507</v>
      </c>
      <c r="BC8" s="1" t="n">
        <v>2.14129</v>
      </c>
      <c r="BD8" s="3" t="s">
        <v>36</v>
      </c>
      <c r="BE8" s="3" t="s">
        <v>36</v>
      </c>
      <c r="BF8" s="3" t="s">
        <v>36</v>
      </c>
      <c r="BG8" s="3" t="s">
        <v>36</v>
      </c>
      <c r="BH8" s="3" t="s">
        <v>36</v>
      </c>
    </row>
    <row r="9" customFormat="false" ht="15" hidden="false" customHeight="false" outlineLevel="0" collapsed="false">
      <c r="B9" s="1" t="n">
        <v>5</v>
      </c>
      <c r="C9" s="7" t="n">
        <v>3.81993E-012</v>
      </c>
      <c r="D9" s="7" t="n">
        <v>2.0557E-012</v>
      </c>
      <c r="E9" s="7" t="n">
        <v>5.8152E-013</v>
      </c>
      <c r="F9" s="7" t="n">
        <v>4.0223E-012</v>
      </c>
      <c r="G9" s="7" t="n">
        <v>1.94597E-012</v>
      </c>
      <c r="H9" s="7" t="n">
        <v>2.998E-012</v>
      </c>
      <c r="I9" s="7" t="n">
        <v>3.4867E-012</v>
      </c>
      <c r="J9" s="7" t="n">
        <v>3.35383333333333E-012</v>
      </c>
      <c r="K9" s="7" t="n">
        <v>3.02993333333333E-012</v>
      </c>
      <c r="L9" s="7" t="n">
        <v>9.29543333333333E-013</v>
      </c>
      <c r="N9" s="1" t="n">
        <v>2</v>
      </c>
      <c r="O9" s="1" t="n">
        <v>8.03201506591337</v>
      </c>
      <c r="P9" s="1" t="n">
        <v>5.47043363994744</v>
      </c>
      <c r="Q9" s="1" t="n">
        <v>5.24897400820793</v>
      </c>
      <c r="R9" s="1" t="n">
        <v>29.9185185185185</v>
      </c>
      <c r="S9" s="1" t="n">
        <v>12.822695035461</v>
      </c>
      <c r="T9" s="1" t="n">
        <v>4.58</v>
      </c>
      <c r="U9" s="1" t="n">
        <v>5.2</v>
      </c>
      <c r="V9" s="1" t="n">
        <v>6.06</v>
      </c>
      <c r="W9" s="1" t="n">
        <v>6.33</v>
      </c>
      <c r="X9" s="1" t="n">
        <v>5.41</v>
      </c>
      <c r="Y9" s="1"/>
      <c r="Z9" s="1" t="n">
        <v>5</v>
      </c>
      <c r="AA9" s="1" t="n">
        <v>49.13</v>
      </c>
      <c r="AB9" s="1" t="n">
        <v>56.31</v>
      </c>
      <c r="AC9" s="1" t="n">
        <v>55.05</v>
      </c>
      <c r="AD9" s="1" t="n">
        <v>46.33</v>
      </c>
      <c r="AE9" s="1" t="n">
        <v>47.04</v>
      </c>
      <c r="AF9" s="1" t="n">
        <v>60.4388433628823</v>
      </c>
      <c r="AG9" s="1" t="n">
        <v>52.331812235038</v>
      </c>
      <c r="AH9" s="1" t="n">
        <v>53.9728237295178</v>
      </c>
      <c r="AI9" s="1" t="n">
        <v>59.0103921854747</v>
      </c>
      <c r="AJ9" s="1" t="n">
        <v>55.995153307349</v>
      </c>
      <c r="AL9" s="1" t="n">
        <v>5</v>
      </c>
      <c r="AM9" s="1" t="n">
        <v>14.85</v>
      </c>
      <c r="AN9" s="1" t="n">
        <v>27.68</v>
      </c>
      <c r="AO9" s="1" t="n">
        <v>28.2</v>
      </c>
      <c r="AP9" s="1" t="n">
        <v>11.32</v>
      </c>
      <c r="AQ9" s="1" t="n">
        <v>18.67</v>
      </c>
      <c r="AR9" s="1" t="n">
        <v>28.271509307839</v>
      </c>
      <c r="AS9" s="1" t="n">
        <v>21.7371753316072</v>
      </c>
      <c r="AT9" s="1" t="n">
        <v>24.9930705140424</v>
      </c>
      <c r="AU9" s="1" t="n">
        <v>26.9280087842356</v>
      </c>
      <c r="AV9" s="1" t="n">
        <v>27.763630674408</v>
      </c>
      <c r="AX9" s="1" t="n">
        <v>8</v>
      </c>
      <c r="AY9" s="1" t="n">
        <v>5.43569</v>
      </c>
      <c r="AZ9" s="1" t="n">
        <v>2.71437</v>
      </c>
      <c r="BA9" s="1" t="n">
        <v>2.27654</v>
      </c>
      <c r="BB9" s="1" t="n">
        <v>6.71922</v>
      </c>
      <c r="BC9" s="1" t="n">
        <v>4.25287</v>
      </c>
      <c r="BD9" s="3" t="s">
        <v>36</v>
      </c>
      <c r="BE9" s="3" t="s">
        <v>36</v>
      </c>
      <c r="BF9" s="3" t="s">
        <v>36</v>
      </c>
      <c r="BG9" s="3" t="s">
        <v>36</v>
      </c>
      <c r="BH9" s="3" t="s">
        <v>36</v>
      </c>
    </row>
    <row r="10" customFormat="false" ht="15" hidden="false" customHeight="false" outlineLevel="0" collapsed="false">
      <c r="B10" s="1" t="n">
        <v>10</v>
      </c>
      <c r="C10" s="7" t="n">
        <v>3.6441E-012</v>
      </c>
      <c r="D10" s="7" t="n">
        <v>1.91473E-012</v>
      </c>
      <c r="E10" s="7" t="n">
        <v>4.98957E-013</v>
      </c>
      <c r="F10" s="7" t="n">
        <v>3.76603E-012</v>
      </c>
      <c r="G10" s="7" t="n">
        <v>1.74307E-012</v>
      </c>
      <c r="H10" s="7" t="n">
        <v>3.1648E-012</v>
      </c>
      <c r="I10" s="7" t="n">
        <v>3.16036666666667E-012</v>
      </c>
      <c r="J10" s="7" t="n">
        <v>3.28553333333333E-012</v>
      </c>
      <c r="K10" s="7" t="n">
        <v>2.72886666666667E-012</v>
      </c>
      <c r="L10" s="7" t="n">
        <v>7.7583E-013</v>
      </c>
      <c r="N10" s="1" t="n">
        <v>4</v>
      </c>
      <c r="O10" s="1" t="n">
        <v>9.34792368125702</v>
      </c>
      <c r="P10" s="1" t="n">
        <v>5.59895493141737</v>
      </c>
      <c r="Q10" s="1" t="n">
        <v>6.54978723404255</v>
      </c>
      <c r="R10" s="1" t="n">
        <v>33.084</v>
      </c>
      <c r="S10" s="1" t="n">
        <v>16.5346756152125</v>
      </c>
      <c r="T10" s="1" t="n">
        <v>4.63</v>
      </c>
      <c r="U10" s="1" t="n">
        <v>5.68</v>
      </c>
      <c r="V10" s="1" t="n">
        <v>6.57</v>
      </c>
      <c r="W10" s="1" t="n">
        <v>6.35</v>
      </c>
      <c r="X10" s="1" t="n">
        <v>7.03</v>
      </c>
      <c r="Y10" s="1"/>
      <c r="Z10" s="1" t="n">
        <v>8</v>
      </c>
      <c r="AA10" s="1" t="n">
        <v>47.31</v>
      </c>
      <c r="AB10" s="1" t="n">
        <v>57.45</v>
      </c>
      <c r="AC10" s="1" t="n">
        <v>54.01</v>
      </c>
      <c r="AD10" s="1" t="n">
        <v>45.8</v>
      </c>
      <c r="AE10" s="1" t="n">
        <v>50.91</v>
      </c>
      <c r="AF10" s="1" t="n">
        <v>66.3593314476875</v>
      </c>
      <c r="AG10" s="1" t="n">
        <v>53.0784023428236</v>
      </c>
      <c r="AH10" s="1" t="n">
        <v>52.7447916065915</v>
      </c>
      <c r="AI10" s="1" t="n">
        <v>66.792288589593</v>
      </c>
      <c r="AJ10" s="1" t="n">
        <v>55.8747968094506</v>
      </c>
      <c r="AL10" s="1" t="n">
        <v>8</v>
      </c>
      <c r="AM10" s="1" t="n">
        <v>16.67</v>
      </c>
      <c r="AN10" s="1" t="n">
        <v>26.21</v>
      </c>
      <c r="AO10" s="1" t="n">
        <v>33.53</v>
      </c>
      <c r="AP10" s="1" t="n">
        <v>9.4</v>
      </c>
      <c r="AQ10" s="1" t="n">
        <v>18.3</v>
      </c>
      <c r="AR10" s="1" t="n">
        <v>31.9508456474885</v>
      </c>
      <c r="AS10" s="1" t="n">
        <v>21.5014352029825</v>
      </c>
      <c r="AT10" s="1" t="n">
        <v>25.4674310310076</v>
      </c>
      <c r="AU10" s="1" t="n">
        <v>26.357820942757</v>
      </c>
      <c r="AV10" s="1" t="n">
        <v>29.3116555513525</v>
      </c>
      <c r="AX10" s="1" t="n">
        <v>10</v>
      </c>
      <c r="AY10" s="1" t="n">
        <v>9.73546</v>
      </c>
      <c r="AZ10" s="1" t="n">
        <v>3.16619</v>
      </c>
      <c r="BA10" s="1" t="n">
        <v>4.38042</v>
      </c>
      <c r="BB10" s="1" t="n">
        <v>12.26459</v>
      </c>
      <c r="BC10" s="1" t="n">
        <v>6.95541</v>
      </c>
      <c r="BD10" s="3" t="s">
        <v>36</v>
      </c>
      <c r="BE10" s="3" t="s">
        <v>36</v>
      </c>
      <c r="BF10" s="3" t="s">
        <v>36</v>
      </c>
      <c r="BG10" s="3" t="s">
        <v>36</v>
      </c>
      <c r="BH10" s="3" t="s">
        <v>36</v>
      </c>
    </row>
    <row r="11" customFormat="false" ht="15" hidden="false" customHeight="false" outlineLevel="0" collapsed="false">
      <c r="B11" s="1" t="n">
        <v>15</v>
      </c>
      <c r="C11" s="7" t="n">
        <v>3.57183E-012</v>
      </c>
      <c r="D11" s="7" t="n">
        <v>1.85157E-012</v>
      </c>
      <c r="E11" s="7" t="n">
        <v>4.42743E-013</v>
      </c>
      <c r="F11" s="7" t="n">
        <v>3.54163E-012</v>
      </c>
      <c r="G11" s="7" t="n">
        <v>1.6301E-012</v>
      </c>
      <c r="H11" s="7" t="n">
        <v>2.84606666666667E-012</v>
      </c>
      <c r="I11" s="7" t="n">
        <v>3.19316666666667E-012</v>
      </c>
      <c r="J11" s="7" t="n">
        <v>3.27543333333333E-012</v>
      </c>
      <c r="K11" s="7" t="n">
        <v>2.5971E-012</v>
      </c>
      <c r="L11" s="7" t="n">
        <v>7.08496666666667E-013</v>
      </c>
      <c r="N11" s="1" t="n">
        <v>8</v>
      </c>
      <c r="O11" s="1" t="n">
        <v>8.10446343779677</v>
      </c>
      <c r="P11" s="1" t="n">
        <v>6.43386850152905</v>
      </c>
      <c r="Q11" s="1" t="n">
        <v>8.2087326943557</v>
      </c>
      <c r="R11" s="1" t="n">
        <v>42.2189973614776</v>
      </c>
      <c r="S11" s="1" t="n">
        <v>21.6443768996961</v>
      </c>
      <c r="T11" s="1" t="n">
        <v>4.74</v>
      </c>
      <c r="U11" s="1" t="n">
        <v>5.6</v>
      </c>
      <c r="V11" s="1" t="n">
        <v>6.11</v>
      </c>
      <c r="W11" s="1" t="n">
        <v>6.03</v>
      </c>
      <c r="X11" s="1" t="n">
        <v>8.5</v>
      </c>
      <c r="Y11" s="1"/>
      <c r="Z11" s="1" t="n">
        <v>10</v>
      </c>
      <c r="AA11" s="1" t="n">
        <v>49.52</v>
      </c>
      <c r="AB11" s="1" t="n">
        <v>62.01</v>
      </c>
      <c r="AC11" s="1" t="n">
        <v>59.47</v>
      </c>
      <c r="AD11" s="1" t="n">
        <v>45.38</v>
      </c>
      <c r="AE11" s="1" t="n">
        <v>49.45</v>
      </c>
      <c r="AF11" s="1" t="n">
        <v>64.3715273172422</v>
      </c>
      <c r="AG11" s="1" t="n">
        <v>52.8866318650729</v>
      </c>
      <c r="AH11" s="1" t="n">
        <v>53.8605397185236</v>
      </c>
      <c r="AI11" s="1" t="n">
        <v>65.681554477103</v>
      </c>
      <c r="AJ11" s="1" t="n">
        <v>55.4664893846284</v>
      </c>
      <c r="AL11" s="1" t="n">
        <v>10</v>
      </c>
      <c r="AM11" s="1" t="n">
        <v>16.67</v>
      </c>
      <c r="AN11" s="1" t="n">
        <v>29.47</v>
      </c>
      <c r="AO11" s="1" t="n">
        <v>32.32</v>
      </c>
      <c r="AP11" s="1" t="n">
        <v>11.04</v>
      </c>
      <c r="AQ11" s="1" t="n">
        <v>18.66</v>
      </c>
      <c r="AR11" s="1" t="n">
        <v>30.5391564131173</v>
      </c>
      <c r="AS11" s="1" t="n">
        <v>21.7075015577523</v>
      </c>
      <c r="AT11" s="1" t="n">
        <v>22.9525968281999</v>
      </c>
      <c r="AU11" s="1" t="n">
        <v>29.7434305965368</v>
      </c>
      <c r="AV11" s="1" t="n">
        <v>28.0641833210598</v>
      </c>
      <c r="AX11" s="1" t="n">
        <v>11.3</v>
      </c>
      <c r="AY11" s="1" t="n">
        <v>13.22936</v>
      </c>
      <c r="AZ11" s="1" t="n">
        <v>3.997</v>
      </c>
      <c r="BA11" s="1" t="n">
        <v>5.93704</v>
      </c>
      <c r="BB11" s="1" t="n">
        <v>17.03701</v>
      </c>
      <c r="BC11" s="1" t="n">
        <v>8.91557</v>
      </c>
      <c r="BD11" s="1" t="n">
        <v>6.79803240435731</v>
      </c>
      <c r="BE11" s="1" t="n">
        <v>5.72487779086375</v>
      </c>
      <c r="BF11" s="1" t="n">
        <v>7.53346869023448</v>
      </c>
      <c r="BG11" s="1" t="n">
        <v>7.19160940547445</v>
      </c>
      <c r="BH11" s="1" t="n">
        <v>8.91963940078259</v>
      </c>
    </row>
    <row r="12" customFormat="false" ht="15" hidden="false" customHeight="false" outlineLevel="0" collapsed="false">
      <c r="B12" s="1" t="n">
        <v>20</v>
      </c>
      <c r="C12" s="7" t="n">
        <v>3.55837E-012</v>
      </c>
      <c r="D12" s="7" t="n">
        <v>1.81497E-012</v>
      </c>
      <c r="E12" s="7" t="n">
        <v>4.31163E-013</v>
      </c>
      <c r="F12" s="7" t="n">
        <v>3.6186E-012</v>
      </c>
      <c r="G12" s="7" t="n">
        <v>1.56617E-012</v>
      </c>
      <c r="H12" s="7" t="n">
        <v>2.98996666666667E-012</v>
      </c>
      <c r="I12" s="7" t="n">
        <v>3.10506666666667E-012</v>
      </c>
      <c r="J12" s="7" t="n">
        <v>3.28936666666667E-012</v>
      </c>
      <c r="K12" s="7" t="n">
        <v>2.51636666666667E-012</v>
      </c>
      <c r="L12" s="7" t="n">
        <v>6.7021E-013</v>
      </c>
      <c r="P12" s="1"/>
      <c r="R12" s="1"/>
      <c r="S12" s="1"/>
      <c r="Y12" s="1"/>
      <c r="Z12" s="1" t="n">
        <v>15</v>
      </c>
      <c r="AA12" s="1" t="n">
        <v>49.94</v>
      </c>
      <c r="AB12" s="1" t="n">
        <v>54.61</v>
      </c>
      <c r="AC12" s="1" t="n">
        <v>52.49</v>
      </c>
      <c r="AD12" s="1" t="n">
        <v>45.01</v>
      </c>
      <c r="AE12" s="1" t="n">
        <v>57.86</v>
      </c>
      <c r="AF12" s="1" t="n">
        <v>68.7453171569513</v>
      </c>
      <c r="AG12" s="1" t="n">
        <v>53.8887533243877</v>
      </c>
      <c r="AH12" s="1" t="n">
        <v>53.1176852111213</v>
      </c>
      <c r="AI12" s="1" t="n">
        <v>75.0051362623789</v>
      </c>
      <c r="AJ12" s="1" t="n">
        <v>52.0675275218875</v>
      </c>
      <c r="AL12" s="1" t="n">
        <v>15</v>
      </c>
      <c r="AM12" s="1" t="n">
        <v>20.78</v>
      </c>
      <c r="AN12" s="1" t="n">
        <v>28.85</v>
      </c>
      <c r="AO12" s="1" t="n">
        <v>32.65</v>
      </c>
      <c r="AP12" s="1" t="n">
        <v>11.33</v>
      </c>
      <c r="AQ12" s="1" t="n">
        <v>20.21</v>
      </c>
      <c r="AR12" s="1" t="n">
        <v>32.6694038307295</v>
      </c>
      <c r="AS12" s="1" t="n">
        <v>26.5523329142183</v>
      </c>
      <c r="AT12" s="1" t="n">
        <v>27.8255177669867</v>
      </c>
      <c r="AU12" s="1" t="n">
        <v>34.6530644456571</v>
      </c>
      <c r="AV12" s="1" t="n">
        <v>29.1955505828935</v>
      </c>
      <c r="AX12" s="1" t="n">
        <v>15</v>
      </c>
      <c r="AY12" s="1" t="n">
        <v>26.00567</v>
      </c>
      <c r="AZ12" s="1" t="n">
        <v>9.68266</v>
      </c>
      <c r="BA12" s="1" t="n">
        <v>10.44736</v>
      </c>
      <c r="BB12" s="1" t="n">
        <v>34.8021</v>
      </c>
      <c r="BC12" s="1" t="n">
        <v>20.09657</v>
      </c>
      <c r="BD12" s="1" t="n">
        <v>16.8094473576669</v>
      </c>
      <c r="BE12" s="1" t="n">
        <v>12.2412487528134</v>
      </c>
      <c r="BF12" s="1" t="n">
        <v>11.2740814379515</v>
      </c>
      <c r="BG12" s="1" t="n">
        <v>11.9196898973476</v>
      </c>
      <c r="BH12" s="1" t="n">
        <v>20.523429547171</v>
      </c>
    </row>
    <row r="13" customFormat="false" ht="15" hidden="false" customHeight="false" outlineLevel="0" collapsed="false">
      <c r="P13" s="1"/>
      <c r="R13" s="1"/>
      <c r="S13" s="1"/>
      <c r="Y13" s="1"/>
      <c r="Z13" s="1" t="n">
        <v>20</v>
      </c>
      <c r="AA13" s="1" t="n">
        <v>53.64</v>
      </c>
      <c r="AB13" s="1" t="n">
        <v>54.93</v>
      </c>
      <c r="AC13" s="1" t="n">
        <v>50.38</v>
      </c>
      <c r="AD13" s="1" t="n">
        <v>47.98</v>
      </c>
      <c r="AE13" s="1" t="n">
        <v>52.12</v>
      </c>
      <c r="AF13" s="1" t="n">
        <v>69.3123103932425</v>
      </c>
      <c r="AG13" s="1" t="n">
        <v>57.9620556031812</v>
      </c>
      <c r="AH13" s="1" t="n">
        <v>56.2638497449708</v>
      </c>
      <c r="AI13" s="1" t="n">
        <v>72.5000460871788</v>
      </c>
      <c r="AJ13" s="1" t="n">
        <v>53.5408342255145</v>
      </c>
      <c r="AL13" s="1" t="n">
        <v>20</v>
      </c>
      <c r="AM13" s="1" t="n">
        <v>21.78</v>
      </c>
      <c r="AN13" s="1" t="n">
        <v>29.93</v>
      </c>
      <c r="AO13" s="1" t="n">
        <v>32.8</v>
      </c>
      <c r="AP13" s="1" t="n">
        <v>13.12</v>
      </c>
      <c r="AQ13" s="1" t="n">
        <v>20.74</v>
      </c>
      <c r="AR13" s="1" t="n">
        <v>32.2155917310875</v>
      </c>
      <c r="AS13" s="1" t="n">
        <v>30.4377571218233</v>
      </c>
      <c r="AT13" s="1" t="n">
        <v>31.198560956201</v>
      </c>
      <c r="AU13" s="1" t="n">
        <v>37.7215255907139</v>
      </c>
      <c r="AV13" s="1" t="n">
        <v>31.0094825907813</v>
      </c>
      <c r="AX13" s="1" t="n">
        <v>25</v>
      </c>
      <c r="AY13" s="1" t="n">
        <v>81.65221</v>
      </c>
      <c r="AZ13" s="1" t="n">
        <v>29.50543</v>
      </c>
      <c r="BA13" s="1" t="n">
        <v>19.91688</v>
      </c>
      <c r="BB13" s="1" t="n">
        <v>145.42305</v>
      </c>
      <c r="BC13" s="1" t="n">
        <v>67.1721</v>
      </c>
      <c r="BD13" s="1" t="n">
        <v>41.3232247542646</v>
      </c>
      <c r="BE13" s="1" t="n">
        <v>55.5742249899205</v>
      </c>
      <c r="BF13" s="1" t="n">
        <v>45.1589595375723</v>
      </c>
      <c r="BG13" s="1" t="n">
        <v>31.9683555904129</v>
      </c>
      <c r="BH13" s="1" t="n">
        <v>43.4613802175387</v>
      </c>
    </row>
    <row r="14" customFormat="false" ht="15" hidden="false" customHeight="false" outlineLevel="0" collapsed="false">
      <c r="P14" s="1"/>
      <c r="R14" s="1"/>
      <c r="S14" s="1"/>
      <c r="Y14" s="1"/>
      <c r="Z14" s="1" t="n">
        <v>30</v>
      </c>
      <c r="AA14" s="1" t="n">
        <v>67.42</v>
      </c>
      <c r="AB14" s="1" t="n">
        <v>62.31</v>
      </c>
      <c r="AC14" s="1" t="n">
        <v>50.47</v>
      </c>
      <c r="AD14" s="1" t="n">
        <v>61.16</v>
      </c>
      <c r="AE14" s="1" t="n">
        <v>65.08</v>
      </c>
      <c r="AF14" s="1" t="n">
        <v>77.8406524924224</v>
      </c>
      <c r="AG14" s="1" t="n">
        <v>62.2758570605667</v>
      </c>
      <c r="AH14" s="1" t="n">
        <v>55.6574498043192</v>
      </c>
      <c r="AI14" s="1" t="n">
        <v>71.2895355642115</v>
      </c>
      <c r="AJ14" s="1" t="n">
        <v>55.921837392768</v>
      </c>
      <c r="AL14" s="1" t="n">
        <v>30</v>
      </c>
      <c r="AM14" s="1" t="n">
        <v>27.45</v>
      </c>
      <c r="AN14" s="1" t="n">
        <v>26.04</v>
      </c>
      <c r="AO14" s="1" t="n">
        <v>25.85</v>
      </c>
      <c r="AP14" s="1" t="n">
        <v>12.87</v>
      </c>
      <c r="AQ14" s="1" t="n">
        <v>27.3</v>
      </c>
      <c r="AR14" s="1" t="n">
        <v>36.2535711448794</v>
      </c>
      <c r="AS14" s="1" t="n">
        <v>36.286418363665</v>
      </c>
      <c r="AT14" s="1" t="n">
        <v>33.2778266952377</v>
      </c>
      <c r="AU14" s="1" t="n">
        <v>35.6566507395784</v>
      </c>
      <c r="AV14" s="1" t="n">
        <v>31.5453889388837</v>
      </c>
    </row>
    <row r="15" customFormat="false" ht="15" hidden="false" customHeight="false" outlineLevel="0" collapsed="false">
      <c r="P15" s="1"/>
      <c r="R15" s="1"/>
      <c r="S15" s="1"/>
      <c r="Y15" s="1"/>
      <c r="Z15" s="1" t="n">
        <v>40</v>
      </c>
      <c r="AA15" s="1" t="n">
        <v>70.15</v>
      </c>
      <c r="AB15" s="1" t="n">
        <v>67.54</v>
      </c>
      <c r="AC15" s="1" t="n">
        <v>45.43</v>
      </c>
      <c r="AD15" s="1" t="n">
        <v>69.63</v>
      </c>
      <c r="AE15" s="1" t="n">
        <v>66.76</v>
      </c>
      <c r="AL15" s="1" t="n">
        <v>40</v>
      </c>
      <c r="AM15" s="1" t="n">
        <v>28.99</v>
      </c>
      <c r="AN15" s="1" t="n">
        <v>26.34</v>
      </c>
      <c r="AO15" s="1" t="n">
        <v>21.58</v>
      </c>
      <c r="AP15" s="1" t="n">
        <v>14.74</v>
      </c>
      <c r="AQ15" s="1" t="n">
        <v>27.16</v>
      </c>
    </row>
    <row r="16" customFormat="false" ht="15" hidden="false" customHeight="false" outlineLevel="0" collapsed="false">
      <c r="Z16" s="1" t="n">
        <v>50</v>
      </c>
      <c r="AA16" s="1" t="n">
        <v>79.61</v>
      </c>
      <c r="AB16" s="1" t="n">
        <v>63.84</v>
      </c>
      <c r="AC16" s="1" t="n">
        <v>46.44</v>
      </c>
      <c r="AD16" s="1" t="n">
        <v>74.27</v>
      </c>
      <c r="AE16" s="1" t="n">
        <v>75.26</v>
      </c>
      <c r="AF16" s="1" t="n">
        <v>80.6965749419799</v>
      </c>
      <c r="AG16" s="1" t="n">
        <v>72.6691280015832</v>
      </c>
      <c r="AH16" s="1" t="n">
        <v>68.6934908315027</v>
      </c>
      <c r="AI16" s="1" t="n">
        <v>72.4999420652848</v>
      </c>
      <c r="AJ16" s="1" t="n">
        <v>67.5902219739581</v>
      </c>
      <c r="AL16" s="1" t="n">
        <v>50</v>
      </c>
      <c r="AM16" s="1" t="n">
        <v>29.64</v>
      </c>
      <c r="AN16" s="1" t="n">
        <v>19.13</v>
      </c>
      <c r="AO16" s="1" t="n">
        <v>15.92</v>
      </c>
      <c r="AP16" s="1" t="n">
        <v>16.36</v>
      </c>
      <c r="AQ16" s="1" t="n">
        <v>28.86</v>
      </c>
      <c r="AR16" s="1" t="n">
        <v>35.6748819047803</v>
      </c>
      <c r="AS16" s="1" t="n">
        <v>30.2677549402953</v>
      </c>
      <c r="AT16" s="1" t="n">
        <v>31.5892217284202</v>
      </c>
      <c r="AU16" s="1" t="n">
        <v>35.7540590347524</v>
      </c>
      <c r="AV16" s="1" t="n">
        <v>22.1013179791644</v>
      </c>
    </row>
    <row r="17" customFormat="false" ht="15" hidden="false" customHeight="false" outlineLevel="0" collapsed="false">
      <c r="Z17" s="1" t="n">
        <v>60</v>
      </c>
      <c r="AA17" s="1" t="n">
        <v>74.93</v>
      </c>
      <c r="AB17" s="1" t="n">
        <v>62.56</v>
      </c>
      <c r="AC17" s="1" t="n">
        <v>53.88</v>
      </c>
      <c r="AD17" s="1" t="n">
        <v>72.92</v>
      </c>
      <c r="AE17" s="1" t="n">
        <v>76.06</v>
      </c>
      <c r="AF17" s="1" t="n">
        <v>73.4632212958312</v>
      </c>
      <c r="AG17" s="1" t="n">
        <v>74.1379752570763</v>
      </c>
      <c r="AH17" s="1" t="n">
        <v>76.5295449838701</v>
      </c>
      <c r="AI17" s="1" t="n">
        <v>77.4917539684278</v>
      </c>
      <c r="AJ17" s="1" t="n">
        <v>68.9104461560352</v>
      </c>
      <c r="AL17" s="1" t="n">
        <v>60</v>
      </c>
      <c r="AM17" s="1" t="n">
        <v>28.36</v>
      </c>
      <c r="AN17" s="1" t="n">
        <v>15.26</v>
      </c>
      <c r="AO17" s="1" t="n">
        <v>16.41</v>
      </c>
      <c r="AP17" s="1" t="n">
        <v>18.25</v>
      </c>
      <c r="AQ17" s="1" t="n">
        <v>28.73</v>
      </c>
      <c r="AR17" s="1" t="n">
        <v>33.1089812521569</v>
      </c>
      <c r="AS17" s="1" t="n">
        <v>24.585390180847</v>
      </c>
      <c r="AT17" s="1" t="n">
        <v>29.4441153164359</v>
      </c>
      <c r="AU17" s="1" t="n">
        <v>25.1649585859932</v>
      </c>
      <c r="AV17" s="1" t="n">
        <v>18.3291879332885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" activeCellId="0" sqref="P11"/>
    </sheetView>
  </sheetViews>
  <sheetFormatPr defaultColWidth="10.6796875" defaultRowHeight="15" zeroHeight="false" outlineLevelRow="0" outlineLevelCol="0"/>
  <sheetData>
    <row r="5" customFormat="false" ht="46.25" hidden="false" customHeight="false" outlineLevel="0" collapsed="false">
      <c r="B5" s="16" t="s">
        <v>37</v>
      </c>
      <c r="C5" s="17" t="s">
        <v>38</v>
      </c>
      <c r="D5" s="17" t="s">
        <v>39</v>
      </c>
      <c r="E5" s="17" t="s">
        <v>40</v>
      </c>
      <c r="F5" s="17" t="s">
        <v>41</v>
      </c>
      <c r="G5" s="17" t="s">
        <v>42</v>
      </c>
      <c r="H5" s="17" t="s">
        <v>43</v>
      </c>
    </row>
    <row r="6" customFormat="false" ht="35.05" hidden="false" customHeight="false" outlineLevel="0" collapsed="false">
      <c r="B6" s="18" t="s">
        <v>44</v>
      </c>
      <c r="C6" s="19" t="n">
        <v>10</v>
      </c>
      <c r="D6" s="19" t="n">
        <v>106</v>
      </c>
      <c r="E6" s="19" t="n">
        <v>12</v>
      </c>
      <c r="F6" s="19" t="n">
        <v>10</v>
      </c>
      <c r="G6" s="19" t="n">
        <v>6</v>
      </c>
      <c r="H6" s="20"/>
    </row>
    <row r="7" customFormat="false" ht="15" hidden="false" customHeight="false" outlineLevel="0" collapsed="false">
      <c r="B7" s="21"/>
      <c r="C7" s="19"/>
      <c r="D7" s="19"/>
      <c r="E7" s="19"/>
      <c r="F7" s="19"/>
      <c r="G7" s="19"/>
      <c r="H7" s="20"/>
    </row>
    <row r="8" customFormat="false" ht="35.05" hidden="false" customHeight="false" outlineLevel="0" collapsed="false">
      <c r="B8" s="18" t="s">
        <v>45</v>
      </c>
      <c r="C8" s="22" t="n">
        <v>5.5</v>
      </c>
      <c r="D8" s="22" t="n">
        <v>106</v>
      </c>
      <c r="E8" s="22" t="n">
        <v>12</v>
      </c>
      <c r="F8" s="22" t="n">
        <v>5.5</v>
      </c>
      <c r="G8" s="22" t="n">
        <v>6</v>
      </c>
      <c r="H8" s="23"/>
    </row>
    <row r="9" customFormat="false" ht="15" hidden="false" customHeight="false" outlineLevel="0" collapsed="false">
      <c r="B9" s="21"/>
      <c r="C9" s="22"/>
      <c r="D9" s="22"/>
      <c r="E9" s="22"/>
      <c r="F9" s="22"/>
      <c r="G9" s="22"/>
      <c r="H9" s="23"/>
    </row>
    <row r="10" customFormat="false" ht="35.05" hidden="false" customHeight="false" outlineLevel="0" collapsed="false">
      <c r="B10" s="18" t="s">
        <v>46</v>
      </c>
      <c r="C10" s="22" t="n">
        <v>10</v>
      </c>
      <c r="D10" s="22" t="n">
        <v>106</v>
      </c>
      <c r="E10" s="22" t="n">
        <v>12</v>
      </c>
      <c r="F10" s="22" t="n">
        <v>6</v>
      </c>
      <c r="G10" s="22" t="n">
        <v>6</v>
      </c>
      <c r="H10" s="23"/>
    </row>
    <row r="11" customFormat="false" ht="15" hidden="false" customHeight="false" outlineLevel="0" collapsed="false">
      <c r="B11" s="21"/>
      <c r="C11" s="22"/>
      <c r="D11" s="22"/>
      <c r="E11" s="22"/>
      <c r="F11" s="22"/>
      <c r="G11" s="22"/>
      <c r="H11" s="23"/>
    </row>
    <row r="12" customFormat="false" ht="35.05" hidden="false" customHeight="false" outlineLevel="0" collapsed="false">
      <c r="B12" s="18" t="s">
        <v>47</v>
      </c>
      <c r="C12" s="22" t="n">
        <v>5.5</v>
      </c>
      <c r="D12" s="22" t="n">
        <v>106</v>
      </c>
      <c r="E12" s="22" t="n">
        <v>12</v>
      </c>
      <c r="F12" s="22" t="n">
        <v>5</v>
      </c>
      <c r="G12" s="22" t="n">
        <v>5</v>
      </c>
      <c r="H12" s="23"/>
    </row>
    <row r="13" customFormat="false" ht="15" hidden="false" customHeight="false" outlineLevel="0" collapsed="false">
      <c r="B13" s="21"/>
      <c r="C13" s="22"/>
      <c r="D13" s="22"/>
      <c r="E13" s="22"/>
      <c r="F13" s="22"/>
      <c r="G13" s="22"/>
      <c r="H13" s="23"/>
    </row>
    <row r="14" customFormat="false" ht="23.85" hidden="false" customHeight="false" outlineLevel="0" collapsed="false">
      <c r="B14" s="18" t="s">
        <v>48</v>
      </c>
      <c r="C14" s="22" t="n">
        <v>10</v>
      </c>
      <c r="D14" s="22" t="n">
        <v>110</v>
      </c>
      <c r="E14" s="22" t="n">
        <v>16</v>
      </c>
      <c r="F14" s="22" t="n">
        <v>4</v>
      </c>
      <c r="G14" s="22" t="n">
        <v>4</v>
      </c>
      <c r="H14" s="23"/>
    </row>
    <row r="15" customFormat="false" ht="15" hidden="false" customHeight="false" outlineLevel="0" collapsed="false">
      <c r="B15" s="21"/>
      <c r="C15" s="22"/>
      <c r="D15" s="22"/>
      <c r="E15" s="22"/>
      <c r="F15" s="22"/>
      <c r="G15" s="22"/>
      <c r="H15" s="23"/>
    </row>
    <row r="16" customFormat="false" ht="49.5" hidden="false" customHeight="true" outlineLevel="0" collapsed="false">
      <c r="B16" s="18" t="s">
        <v>49</v>
      </c>
      <c r="C16" s="22" t="n">
        <v>5.5</v>
      </c>
      <c r="D16" s="22" t="n">
        <v>106</v>
      </c>
      <c r="E16" s="22" t="n">
        <v>18</v>
      </c>
      <c r="F16" s="22" t="n">
        <v>3</v>
      </c>
      <c r="G16" s="22" t="n">
        <v>5</v>
      </c>
      <c r="H16" s="23"/>
    </row>
    <row r="17" customFormat="false" ht="15" hidden="false" customHeight="false" outlineLevel="0" collapsed="false">
      <c r="B17" s="21"/>
      <c r="C17" s="22"/>
      <c r="D17" s="22"/>
      <c r="E17" s="22"/>
      <c r="F17" s="22"/>
      <c r="G17" s="22"/>
      <c r="H17" s="23"/>
    </row>
  </sheetData>
  <mergeCells count="36">
    <mergeCell ref="C6:C7"/>
    <mergeCell ref="D6:D7"/>
    <mergeCell ref="E6:E7"/>
    <mergeCell ref="F6:F7"/>
    <mergeCell ref="G6:G7"/>
    <mergeCell ref="H6:H7"/>
    <mergeCell ref="C8:C9"/>
    <mergeCell ref="D8:D9"/>
    <mergeCell ref="E8:E9"/>
    <mergeCell ref="F8:F9"/>
    <mergeCell ref="G8:G9"/>
    <mergeCell ref="H8:H9"/>
    <mergeCell ref="C10:C11"/>
    <mergeCell ref="D10:D11"/>
    <mergeCell ref="E10:E11"/>
    <mergeCell ref="F10:F11"/>
    <mergeCell ref="G10:G11"/>
    <mergeCell ref="H10:H11"/>
    <mergeCell ref="C12:C13"/>
    <mergeCell ref="D12:D13"/>
    <mergeCell ref="E12:E13"/>
    <mergeCell ref="F12:F13"/>
    <mergeCell ref="G12:G13"/>
    <mergeCell ref="H12:H13"/>
    <mergeCell ref="C14:C15"/>
    <mergeCell ref="D14:D15"/>
    <mergeCell ref="E14:E15"/>
    <mergeCell ref="F14:F15"/>
    <mergeCell ref="G14:G15"/>
    <mergeCell ref="H14:H15"/>
    <mergeCell ref="C16:C17"/>
    <mergeCell ref="D16:D17"/>
    <mergeCell ref="E16:E17"/>
    <mergeCell ref="F16:F17"/>
    <mergeCell ref="G16:G17"/>
    <mergeCell ref="H16:H1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Collabora_Office/24.04.18.3$Linux_X86_64 LibreOffice_project/1c5faab5105dc67d68f2698169bd1f4db49bba47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Lars Wagner</dc:creator>
  <dc:description/>
  <dc:language>en-US</dc:language>
  <cp:lastModifiedBy/>
  <dcterms:modified xsi:type="dcterms:W3CDTF">2026-09-22T14:29:15Z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
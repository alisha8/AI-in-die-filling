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dia/image2.png" ContentType="image/png"/>
  <Override PartName="/xl/media/image1.png" ContentType="image/png"/>
  <Override PartName="/xl/media/image3.png" ContentType="image/png"/>
  <Override PartName="/xl/media/image5.png" ContentType="image/png"/>
  <Override PartName="/xl/media/image4.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8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CP" sheetId="1" state="visible" r:id="rId3"/>
    <sheet name="TCC" sheetId="2" state="visible" r:id="rId4"/>
    <sheet name="Lactose Anhydrate" sheetId="3" state="visible" r:id="rId5"/>
    <sheet name="MCC coarse" sheetId="4" state="visible" r:id="rId6"/>
    <sheet name="MCC fine" sheetId="5" state="visible" r:id="rId7"/>
    <sheet name="Powdered cellulose(ArbocelP290)" sheetId="6" state="visible" r:id="rId8"/>
    <sheet name="MCC finest (Vivapur102)" sheetId="7" state="visible" r:id="rId9"/>
    <sheet name="MCC finest +Pellets " sheetId="8" state="visible" r:id="rId10"/>
    <sheet name="RoMatZu and co." sheetId="9" state="visible" r:id="rId11"/>
    <sheet name="HPMC(60%Tylopur40%V120)" sheetId="10" state="visible" r:id="rId12"/>
    <sheet name="CaCO3(50%MagGranCC)" sheetId="11" state="visible" r:id="rId13"/>
    <sheet name="Steep fill cam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<sst xmlns="http://schemas.openxmlformats.org/spreadsheetml/2006/main" count="1795" uniqueCount="48">
  <si>
    <t xml:space="preserve">DCP</t>
  </si>
  <si>
    <t xml:space="preserve">Rectangular cranked 10 mm</t>
  </si>
  <si>
    <r>
      <rPr>
        <b val="true"/>
        <sz val="13.5"/>
        <color rgb="FF000000"/>
        <rFont val="Calibri"/>
        <family val="2"/>
        <charset val="1"/>
      </rPr>
      <t xml:space="preserve">n</t>
    </r>
    <r>
      <rPr>
        <b val="true"/>
        <vertAlign val="subscript"/>
        <sz val="13.5"/>
        <color rgb="FF000000"/>
        <rFont val="Calibri"/>
        <family val="2"/>
        <charset val="1"/>
      </rPr>
      <t xml:space="preserve">t</t>
    </r>
    <r>
      <rPr>
        <b val="true"/>
        <sz val="13.5"/>
        <color rgb="FF000000"/>
        <rFont val="Calibri"/>
        <family val="2"/>
        <charset val="1"/>
      </rPr>
      <t xml:space="preserve"> [rpm]</t>
    </r>
  </si>
  <si>
    <r>
      <rPr>
        <b val="true"/>
        <sz val="13.5"/>
        <color rgb="FF000000"/>
        <rFont val="Calibri"/>
        <family val="2"/>
        <charset val="1"/>
      </rPr>
      <t xml:space="preserve">n</t>
    </r>
    <r>
      <rPr>
        <b val="true"/>
        <vertAlign val="subscript"/>
        <sz val="13.5"/>
        <color rgb="FF000000"/>
        <rFont val="Calibri"/>
        <family val="2"/>
        <charset val="1"/>
      </rPr>
      <t xml:space="preserve">p</t>
    </r>
    <r>
      <rPr>
        <b val="true"/>
        <sz val="13.5"/>
        <color rgb="FF000000"/>
        <rFont val="Calibri"/>
        <family val="2"/>
        <charset val="1"/>
      </rPr>
      <t xml:space="preserve"> [rpm]</t>
    </r>
  </si>
  <si>
    <t xml:space="preserve">Tab1 [mg]</t>
  </si>
  <si>
    <t xml:space="preserve">Tab2 [mg]</t>
  </si>
  <si>
    <t xml:space="preserve">Tab3 [mg]</t>
  </si>
  <si>
    <t xml:space="preserve">Tab4 [mg]</t>
  </si>
  <si>
    <t xml:space="preserve">Tab5 [mg]</t>
  </si>
  <si>
    <t xml:space="preserve">Tab6 [mg]</t>
  </si>
  <si>
    <t xml:space="preserve">Tab7 [mg]</t>
  </si>
  <si>
    <t xml:space="preserve">Tab8 [mg]</t>
  </si>
  <si>
    <t xml:space="preserve">Tab9 [mg]</t>
  </si>
  <si>
    <t xml:space="preserve">Tab10 [mg]</t>
  </si>
  <si>
    <t xml:space="preserve">Tab11 [mg]</t>
  </si>
  <si>
    <t xml:space="preserve">Tab12 [mg]</t>
  </si>
  <si>
    <t xml:space="preserve">Tab13 [mg]</t>
  </si>
  <si>
    <t xml:space="preserve">Tab14 [mg]</t>
  </si>
  <si>
    <t xml:space="preserve">Tab15 [mg]</t>
  </si>
  <si>
    <t xml:space="preserve">Tab16 [mg]</t>
  </si>
  <si>
    <t xml:space="preserve">Tab17 [mg]</t>
  </si>
  <si>
    <t xml:space="preserve">Tab18 [mg]</t>
  </si>
  <si>
    <t xml:space="preserve">Tab19 [mg]</t>
  </si>
  <si>
    <t xml:space="preserve">Tab20 [mg]</t>
  </si>
  <si>
    <t xml:space="preserve">Mean [mg]</t>
  </si>
  <si>
    <t xml:space="preserve">Std [mg]</t>
  </si>
  <si>
    <t xml:space="preserve">rel. Std [mg]</t>
  </si>
  <si>
    <t xml:space="preserve">Rectangular cranked 5.5 mm</t>
  </si>
  <si>
    <t xml:space="preserve">Round cranked 10 mm</t>
  </si>
  <si>
    <t xml:space="preserve">Round cranked 5.5 mm</t>
  </si>
  <si>
    <t xml:space="preserve">Spider geometry</t>
  </si>
  <si>
    <t xml:space="preserve">Cut-out geometry</t>
  </si>
  <si>
    <t xml:space="preserve">TCC</t>
  </si>
  <si>
    <t xml:space="preserve">Lactose Anhydrate</t>
  </si>
  <si>
    <t xml:space="preserve">MCC coarse</t>
  </si>
  <si>
    <t xml:space="preserve">&lt;</t>
  </si>
  <si>
    <t xml:space="preserve">MCC fine</t>
  </si>
  <si>
    <t xml:space="preserve">355,,6</t>
  </si>
  <si>
    <t xml:space="preserve">Powdered cellulose(ArbocelP290)</t>
  </si>
  <si>
    <t xml:space="preserve">MCC finest (Vivapur102)</t>
  </si>
  <si>
    <t xml:space="preserve">MCC finest + Pellets (10%Cellets700 10%Vivapur101 80%Vivapur102)</t>
  </si>
  <si>
    <t xml:space="preserve">t [min]</t>
  </si>
  <si>
    <t xml:space="preserve">Rotating RoMatZu</t>
  </si>
  <si>
    <t xml:space="preserve">Oscillating RoMatZu</t>
  </si>
  <si>
    <t xml:space="preserve">Pneumatic Vibrator</t>
  </si>
  <si>
    <t xml:space="preserve">Stationary RoMatZu</t>
  </si>
  <si>
    <t xml:space="preserve">A new fill cam was used with an 18 mm punch pull down in  an angle of 9.5°</t>
  </si>
  <si>
    <t xml:space="preserve">Vivapur 102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</si>
</sst>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3.5"/>
      <color rgb="FF000000"/>
      <name val="Calibri"/>
      <family val="2"/>
      <charset val="1"/>
    </font>
    <font>
      <b val="true"/>
      <vertAlign val="subscript"/>
      <sz val="13.5"/>
      <color rgb="FF000000"/>
      <name val="Calibri"/>
      <family val="2"/>
      <charset val="1"/>
    </font>
    <font>
      <sz val="13.5"/>
      <color theme="1"/>
      <name val="Calibri"/>
      <family val="2"/>
      <charset val="1"/>
    </font>
    <font>
      <sz val="13.5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41</xdr:col>
      <xdr:colOff>324720</xdr:colOff>
      <xdr:row>21</xdr:row>
      <xdr:rowOff>147240</xdr:rowOff>
    </xdr:to>
    <xdr:pic>
      <xdr:nvPicPr>
        <xdr:cNvPr id="1" name="Grafik 1" descr=""/>
        <xdr:cNvPicPr/>
      </xdr:nvPicPr>
      <xdr:blipFill>
        <a:blip r:embed="rId1"/>
        <a:stretch/>
      </xdr:blipFill>
      <xdr:spPr>
        <a:xfrm>
          <a:off x="23970600" y="340200"/>
          <a:ext cx="3614760" cy="426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2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3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4" name="Grafik 4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5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41</xdr:col>
      <xdr:colOff>339840</xdr:colOff>
      <xdr:row>25</xdr:row>
      <xdr:rowOff>72720</xdr:rowOff>
    </xdr:to>
    <xdr:pic>
      <xdr:nvPicPr>
        <xdr:cNvPr id="6" name="Grafik 1" descr=""/>
        <xdr:cNvPicPr/>
      </xdr:nvPicPr>
      <xdr:blipFill>
        <a:blip r:embed="rId1"/>
        <a:stretch/>
      </xdr:blipFill>
      <xdr:spPr>
        <a:xfrm>
          <a:off x="23970600" y="340200"/>
          <a:ext cx="3629880" cy="520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7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8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9" name="Grafik 4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10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41</xdr:col>
      <xdr:colOff>360</xdr:colOff>
      <xdr:row>21</xdr:row>
      <xdr:rowOff>354960</xdr:rowOff>
    </xdr:to>
    <xdr:pic>
      <xdr:nvPicPr>
        <xdr:cNvPr id="11" name="Grafik 1" descr=""/>
        <xdr:cNvPicPr/>
      </xdr:nvPicPr>
      <xdr:blipFill>
        <a:blip r:embed="rId1"/>
        <a:stretch/>
      </xdr:blipFill>
      <xdr:spPr>
        <a:xfrm>
          <a:off x="23970600" y="340200"/>
          <a:ext cx="3290400" cy="447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12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13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14" name="Grafik 4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15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39</xdr:col>
      <xdr:colOff>428400</xdr:colOff>
      <xdr:row>17</xdr:row>
      <xdr:rowOff>99360</xdr:rowOff>
    </xdr:to>
    <xdr:pic>
      <xdr:nvPicPr>
        <xdr:cNvPr id="16" name="Grafik 74" descr=""/>
        <xdr:cNvPicPr/>
      </xdr:nvPicPr>
      <xdr:blipFill>
        <a:blip r:embed="rId1"/>
        <a:stretch/>
      </xdr:blipFill>
      <xdr:spPr>
        <a:xfrm>
          <a:off x="23970600" y="340200"/>
          <a:ext cx="2429280" cy="34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17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18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19" name="Grafik 77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20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21</xdr:row>
      <xdr:rowOff>61560</xdr:rowOff>
    </xdr:to>
    <xdr:pic>
      <xdr:nvPicPr>
        <xdr:cNvPr id="21" name="Grafik 1" descr=""/>
        <xdr:cNvPicPr/>
      </xdr:nvPicPr>
      <xdr:blipFill>
        <a:blip r:embed="rId1"/>
        <a:stretch/>
      </xdr:blipFill>
      <xdr:spPr>
        <a:xfrm>
          <a:off x="23970600" y="340200"/>
          <a:ext cx="290700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22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23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24" name="Grafik 4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25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21</xdr:row>
      <xdr:rowOff>61560</xdr:rowOff>
    </xdr:to>
    <xdr:pic>
      <xdr:nvPicPr>
        <xdr:cNvPr id="26" name="Grafik 1" descr=""/>
        <xdr:cNvPicPr/>
      </xdr:nvPicPr>
      <xdr:blipFill>
        <a:blip r:embed="rId1"/>
        <a:stretch/>
      </xdr:blipFill>
      <xdr:spPr>
        <a:xfrm>
          <a:off x="23970600" y="340200"/>
          <a:ext cx="290700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27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28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29" name="Grafik 6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30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21</xdr:row>
      <xdr:rowOff>61560</xdr:rowOff>
    </xdr:to>
    <xdr:pic>
      <xdr:nvPicPr>
        <xdr:cNvPr id="31" name="Grafik 1" descr=""/>
        <xdr:cNvPicPr/>
      </xdr:nvPicPr>
      <xdr:blipFill>
        <a:blip r:embed="rId1"/>
        <a:stretch/>
      </xdr:blipFill>
      <xdr:spPr>
        <a:xfrm>
          <a:off x="23970600" y="340200"/>
          <a:ext cx="290700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32" name="Grafik 3" descr=""/>
        <xdr:cNvPicPr/>
      </xdr:nvPicPr>
      <xdr:blipFill>
        <a:blip r:embed="rId2"/>
        <a:stretch/>
      </xdr:blipFill>
      <xdr:spPr>
        <a:xfrm rot="16200000">
          <a:off x="191934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33" name="Grafik 4" descr=""/>
        <xdr:cNvPicPr/>
      </xdr:nvPicPr>
      <xdr:blipFill>
        <a:blip r:embed="rId3"/>
        <a:stretch/>
      </xdr:blipFill>
      <xdr:spPr>
        <a:xfrm rot="16200000">
          <a:off x="191278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34" name="Grafik 6" descr=""/>
        <xdr:cNvPicPr/>
      </xdr:nvPicPr>
      <xdr:blipFill>
        <a:blip r:embed="rId4"/>
        <a:stretch/>
      </xdr:blipFill>
      <xdr:spPr>
        <a:xfrm rot="5400000">
          <a:off x="194356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35" name="Grafik 6" descr=""/>
        <xdr:cNvPicPr/>
      </xdr:nvPicPr>
      <xdr:blipFill>
        <a:blip r:embed="rId5"/>
        <a:stretch/>
      </xdr:blipFill>
      <xdr:spPr>
        <a:xfrm rot="5400000">
          <a:off x="193813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20</xdr:row>
      <xdr:rowOff>185400</xdr:rowOff>
    </xdr:to>
    <xdr:pic>
      <xdr:nvPicPr>
        <xdr:cNvPr id="36" name="Grafik 1" descr=""/>
        <xdr:cNvPicPr/>
      </xdr:nvPicPr>
      <xdr:blipFill>
        <a:blip r:embed="rId1"/>
        <a:stretch/>
      </xdr:blipFill>
      <xdr:spPr>
        <a:xfrm>
          <a:off x="23970600" y="340200"/>
          <a:ext cx="290700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55</xdr:row>
      <xdr:rowOff>7920</xdr:rowOff>
    </xdr:from>
    <xdr:to>
      <xdr:col>34</xdr:col>
      <xdr:colOff>233640</xdr:colOff>
      <xdr:row>77</xdr:row>
      <xdr:rowOff>69840</xdr:rowOff>
    </xdr:to>
    <xdr:pic>
      <xdr:nvPicPr>
        <xdr:cNvPr id="37" name="Grafik 3" descr=""/>
        <xdr:cNvPicPr/>
      </xdr:nvPicPr>
      <xdr:blipFill>
        <a:blip r:embed="rId2"/>
        <a:stretch/>
      </xdr:blipFill>
      <xdr:spPr>
        <a:xfrm rot="16200000">
          <a:off x="18383760" y="12160800"/>
          <a:ext cx="481932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80</xdr:row>
      <xdr:rowOff>109440</xdr:rowOff>
    </xdr:from>
    <xdr:to>
      <xdr:col>34</xdr:col>
      <xdr:colOff>244080</xdr:colOff>
      <xdr:row>95</xdr:row>
      <xdr:rowOff>197280</xdr:rowOff>
    </xdr:to>
    <xdr:pic>
      <xdr:nvPicPr>
        <xdr:cNvPr id="38" name="Grafik 4" descr=""/>
        <xdr:cNvPicPr/>
      </xdr:nvPicPr>
      <xdr:blipFill>
        <a:blip r:embed="rId3"/>
        <a:stretch/>
      </xdr:blipFill>
      <xdr:spPr>
        <a:xfrm rot="16200000">
          <a:off x="19118520" y="16841880"/>
          <a:ext cx="327888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104</xdr:row>
      <xdr:rowOff>161640</xdr:rowOff>
    </xdr:from>
    <xdr:to>
      <xdr:col>36</xdr:col>
      <xdr:colOff>370080</xdr:colOff>
      <xdr:row>129</xdr:row>
      <xdr:rowOff>178200</xdr:rowOff>
    </xdr:to>
    <xdr:pic>
      <xdr:nvPicPr>
        <xdr:cNvPr id="39" name="Grafik 6" descr=""/>
        <xdr:cNvPicPr/>
      </xdr:nvPicPr>
      <xdr:blipFill>
        <a:blip r:embed="rId4"/>
        <a:stretch/>
      </xdr:blipFill>
      <xdr:spPr>
        <a:xfrm rot="5400000">
          <a:off x="18626040" y="22302720"/>
          <a:ext cx="541224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130</xdr:row>
      <xdr:rowOff>36720</xdr:rowOff>
    </xdr:from>
    <xdr:to>
      <xdr:col>36</xdr:col>
      <xdr:colOff>300240</xdr:colOff>
      <xdr:row>151</xdr:row>
      <xdr:rowOff>74160</xdr:rowOff>
    </xdr:to>
    <xdr:pic>
      <xdr:nvPicPr>
        <xdr:cNvPr id="40" name="Grafik 6" descr=""/>
        <xdr:cNvPicPr/>
      </xdr:nvPicPr>
      <xdr:blipFill>
        <a:blip r:embed="rId5"/>
        <a:stretch/>
      </xdr:blipFill>
      <xdr:spPr>
        <a:xfrm rot="5400000">
          <a:off x="19333440" y="27478080"/>
          <a:ext cx="432684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20</xdr:row>
      <xdr:rowOff>185400</xdr:rowOff>
    </xdr:to>
    <xdr:pic>
      <xdr:nvPicPr>
        <xdr:cNvPr id="41" name="Grafik 1" descr=""/>
        <xdr:cNvPicPr/>
      </xdr:nvPicPr>
      <xdr:blipFill>
        <a:blip r:embed="rId1"/>
        <a:stretch/>
      </xdr:blipFill>
      <xdr:spPr>
        <a:xfrm>
          <a:off x="23970600" y="340200"/>
          <a:ext cx="290700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41</xdr:col>
      <xdr:colOff>53640</xdr:colOff>
      <xdr:row>2</xdr:row>
      <xdr:rowOff>137880</xdr:rowOff>
    </xdr:from>
    <xdr:to>
      <xdr:col>50</xdr:col>
      <xdr:colOff>404640</xdr:colOff>
      <xdr:row>27</xdr:row>
      <xdr:rowOff>177120</xdr:rowOff>
    </xdr:to>
    <xdr:pic>
      <xdr:nvPicPr>
        <xdr:cNvPr id="42" name="Grafik 6" descr=""/>
        <xdr:cNvPicPr/>
      </xdr:nvPicPr>
      <xdr:blipFill>
        <a:blip r:embed="rId2"/>
        <a:stretch/>
      </xdr:blipFill>
      <xdr:spPr>
        <a:xfrm rot="5400000">
          <a:off x="27683640" y="149040"/>
          <a:ext cx="5412600" cy="615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21</xdr:row>
      <xdr:rowOff>61560</xdr:rowOff>
    </xdr:to>
    <xdr:pic>
      <xdr:nvPicPr>
        <xdr:cNvPr id="43" name="Grafik 1" descr=""/>
        <xdr:cNvPicPr/>
      </xdr:nvPicPr>
      <xdr:blipFill>
        <a:blip r:embed="rId1"/>
        <a:stretch/>
      </xdr:blipFill>
      <xdr:spPr>
        <a:xfrm>
          <a:off x="23990040" y="340200"/>
          <a:ext cx="290736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44" name="Grafik 3" descr=""/>
        <xdr:cNvPicPr/>
      </xdr:nvPicPr>
      <xdr:blipFill>
        <a:blip r:embed="rId2"/>
        <a:stretch/>
      </xdr:blipFill>
      <xdr:spPr>
        <a:xfrm rot="16200000">
          <a:off x="192132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45" name="Grafik 4" descr=""/>
        <xdr:cNvPicPr/>
      </xdr:nvPicPr>
      <xdr:blipFill>
        <a:blip r:embed="rId3"/>
        <a:stretch/>
      </xdr:blipFill>
      <xdr:spPr>
        <a:xfrm rot="16200000">
          <a:off x="191476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46" name="Grafik 6" descr=""/>
        <xdr:cNvPicPr/>
      </xdr:nvPicPr>
      <xdr:blipFill>
        <a:blip r:embed="rId4"/>
        <a:stretch/>
      </xdr:blipFill>
      <xdr:spPr>
        <a:xfrm rot="5400000">
          <a:off x="194554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47" name="Grafik 6" descr=""/>
        <xdr:cNvPicPr/>
      </xdr:nvPicPr>
      <xdr:blipFill>
        <a:blip r:embed="rId5"/>
        <a:stretch/>
      </xdr:blipFill>
      <xdr:spPr>
        <a:xfrm rot="5400000">
          <a:off x="194011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577080</xdr:colOff>
      <xdr:row>1</xdr:row>
      <xdr:rowOff>149760</xdr:rowOff>
    </xdr:from>
    <xdr:to>
      <xdr:col>40</xdr:col>
      <xdr:colOff>261720</xdr:colOff>
      <xdr:row>21</xdr:row>
      <xdr:rowOff>61560</xdr:rowOff>
    </xdr:to>
    <xdr:pic>
      <xdr:nvPicPr>
        <xdr:cNvPr id="48" name="Grafik 1" descr=""/>
        <xdr:cNvPicPr/>
      </xdr:nvPicPr>
      <xdr:blipFill>
        <a:blip r:embed="rId1"/>
        <a:stretch/>
      </xdr:blipFill>
      <xdr:spPr>
        <a:xfrm>
          <a:off x="23990040" y="340200"/>
          <a:ext cx="2907360" cy="417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367560</xdr:colOff>
      <xdr:row>39</xdr:row>
      <xdr:rowOff>172800</xdr:rowOff>
    </xdr:from>
    <xdr:to>
      <xdr:col>34</xdr:col>
      <xdr:colOff>233640</xdr:colOff>
      <xdr:row>55</xdr:row>
      <xdr:rowOff>58320</xdr:rowOff>
    </xdr:to>
    <xdr:pic>
      <xdr:nvPicPr>
        <xdr:cNvPr id="49" name="Grafik 3" descr=""/>
        <xdr:cNvPicPr/>
      </xdr:nvPicPr>
      <xdr:blipFill>
        <a:blip r:embed="rId2"/>
        <a:stretch/>
      </xdr:blipFill>
      <xdr:spPr>
        <a:xfrm rot="16200000">
          <a:off x="19213200" y="8112600"/>
          <a:ext cx="3200040" cy="43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285840</xdr:colOff>
      <xdr:row>57</xdr:row>
      <xdr:rowOff>144720</xdr:rowOff>
    </xdr:from>
    <xdr:to>
      <xdr:col>34</xdr:col>
      <xdr:colOff>244080</xdr:colOff>
      <xdr:row>72</xdr:row>
      <xdr:rowOff>302400</xdr:rowOff>
    </xdr:to>
    <xdr:pic>
      <xdr:nvPicPr>
        <xdr:cNvPr id="50" name="Grafik 4" descr=""/>
        <xdr:cNvPicPr/>
      </xdr:nvPicPr>
      <xdr:blipFill>
        <a:blip r:embed="rId3"/>
        <a:stretch/>
      </xdr:blipFill>
      <xdr:spPr>
        <a:xfrm rot="16200000">
          <a:off x="19147680" y="11974680"/>
          <a:ext cx="3259800" cy="446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19080</xdr:colOff>
      <xdr:row>74</xdr:row>
      <xdr:rowOff>66240</xdr:rowOff>
    </xdr:from>
    <xdr:to>
      <xdr:col>36</xdr:col>
      <xdr:colOff>370080</xdr:colOff>
      <xdr:row>91</xdr:row>
      <xdr:rowOff>165600</xdr:rowOff>
    </xdr:to>
    <xdr:pic>
      <xdr:nvPicPr>
        <xdr:cNvPr id="51" name="Grafik 6" descr=""/>
        <xdr:cNvPicPr/>
      </xdr:nvPicPr>
      <xdr:blipFill>
        <a:blip r:embed="rId4"/>
        <a:stretch/>
      </xdr:blipFill>
      <xdr:spPr>
        <a:xfrm rot="5400000">
          <a:off x="19455480" y="15015960"/>
          <a:ext cx="3792960" cy="61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27</xdr:col>
      <xdr:colOff>418320</xdr:colOff>
      <xdr:row>92</xdr:row>
      <xdr:rowOff>24480</xdr:rowOff>
    </xdr:from>
    <xdr:to>
      <xdr:col>36</xdr:col>
      <xdr:colOff>300240</xdr:colOff>
      <xdr:row>113</xdr:row>
      <xdr:rowOff>32760</xdr:rowOff>
    </xdr:to>
    <xdr:pic>
      <xdr:nvPicPr>
        <xdr:cNvPr id="52" name="Grafik 6" descr=""/>
        <xdr:cNvPicPr/>
      </xdr:nvPicPr>
      <xdr:blipFill>
        <a:blip r:embed="rId5"/>
        <a:stretch/>
      </xdr:blipFill>
      <xdr:spPr>
        <a:xfrm rot="5400000">
          <a:off x="19401120" y="19334160"/>
          <a:ext cx="4231080" cy="568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27</xdr:col>
      <xdr:colOff>476640</xdr:colOff>
      <xdr:row>26</xdr:row>
      <xdr:rowOff>94680</xdr:rowOff>
    </xdr:from>
    <xdr:to>
      <xdr:col>35</xdr:col>
      <xdr:colOff>186840</xdr:colOff>
      <xdr:row>51</xdr:row>
      <xdr:rowOff>122760</xdr:rowOff>
    </xdr:to>
    <xdr:pic>
      <xdr:nvPicPr>
        <xdr:cNvPr id="53" name="Grafik 1" descr=""/>
        <xdr:cNvPicPr/>
      </xdr:nvPicPr>
      <xdr:blipFill>
        <a:blip r:embed="rId1"/>
        <a:stretch/>
      </xdr:blipFill>
      <xdr:spPr>
        <a:xfrm rot="5400000">
          <a:off x="21035520" y="5260680"/>
          <a:ext cx="5245920" cy="572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41</xdr:col>
      <xdr:colOff>494280</xdr:colOff>
      <xdr:row>29</xdr:row>
      <xdr:rowOff>102240</xdr:rowOff>
    </xdr:to>
    <xdr:pic>
      <xdr:nvPicPr>
        <xdr:cNvPr id="54" name="Grafik 2" descr=""/>
        <xdr:cNvPicPr/>
      </xdr:nvPicPr>
      <xdr:blipFill>
        <a:blip r:embed="rId2"/>
        <a:stretch/>
      </xdr:blipFill>
      <xdr:spPr>
        <a:xfrm>
          <a:off x="28594080" y="1905120"/>
          <a:ext cx="2751840" cy="417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Y92" activeCellId="0" sqref="Y92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826.9</v>
      </c>
      <c r="E6" s="0" t="n">
        <v>827.7</v>
      </c>
      <c r="F6" s="0" t="n">
        <v>826.4</v>
      </c>
      <c r="G6" s="0" t="n">
        <v>826.1</v>
      </c>
      <c r="H6" s="0" t="n">
        <v>822.4</v>
      </c>
      <c r="I6" s="0" t="n">
        <v>824.2</v>
      </c>
      <c r="J6" s="0" t="n">
        <v>823.1</v>
      </c>
      <c r="K6" s="0" t="n">
        <v>827</v>
      </c>
      <c r="L6" s="0" t="n">
        <v>824.9</v>
      </c>
      <c r="M6" s="0" t="n">
        <v>824.8</v>
      </c>
      <c r="N6" s="0" t="n">
        <v>829.1</v>
      </c>
      <c r="O6" s="0" t="n">
        <v>827</v>
      </c>
      <c r="P6" s="0" t="n">
        <v>827</v>
      </c>
      <c r="Q6" s="0" t="n">
        <v>826.2</v>
      </c>
      <c r="R6" s="0" t="n">
        <v>822</v>
      </c>
      <c r="S6" s="0" t="n">
        <v>829.3</v>
      </c>
      <c r="T6" s="0" t="n">
        <v>826.5</v>
      </c>
      <c r="U6" s="0" t="n">
        <v>824.3</v>
      </c>
      <c r="V6" s="0" t="n">
        <v>825.6</v>
      </c>
      <c r="W6" s="0" t="n">
        <v>822.3</v>
      </c>
      <c r="X6" s="6" t="n">
        <f aca="false">AVERAGE(D6:W6)</f>
        <v>825.64</v>
      </c>
      <c r="Y6" s="7" t="n">
        <f aca="false">_xlfn.STDEV.S(D6:W6)</f>
        <v>2.11595443190414</v>
      </c>
      <c r="Z6" s="7" t="n">
        <f aca="false">Y6/X6</f>
        <v>0.002562805135294</v>
      </c>
    </row>
    <row r="7" customFormat="false" ht="16.75" hidden="false" customHeight="false" outlineLevel="0" collapsed="false">
      <c r="B7" s="4"/>
      <c r="C7" s="5" t="n">
        <v>25</v>
      </c>
      <c r="D7" s="0" t="n">
        <v>831.5</v>
      </c>
      <c r="E7" s="0" t="n">
        <v>832.3</v>
      </c>
      <c r="F7" s="0" t="n">
        <v>830.5</v>
      </c>
      <c r="G7" s="0" t="n">
        <v>830.2</v>
      </c>
      <c r="H7" s="0" t="n">
        <v>832.3</v>
      </c>
      <c r="I7" s="0" t="n">
        <v>834.3</v>
      </c>
      <c r="J7" s="0" t="n">
        <v>827.8</v>
      </c>
      <c r="K7" s="0" t="n">
        <v>828.5</v>
      </c>
      <c r="L7" s="0" t="n">
        <v>828</v>
      </c>
      <c r="M7" s="0" t="n">
        <v>831.7</v>
      </c>
      <c r="N7" s="0" t="n">
        <v>825.7</v>
      </c>
      <c r="O7" s="0" t="n">
        <v>827.3</v>
      </c>
      <c r="P7" s="0" t="n">
        <v>825.1</v>
      </c>
      <c r="Q7" s="0" t="n">
        <v>827.2</v>
      </c>
      <c r="R7" s="0" t="n">
        <v>829.8</v>
      </c>
      <c r="S7" s="0" t="n">
        <v>834.3</v>
      </c>
      <c r="T7" s="0" t="n">
        <v>827.7</v>
      </c>
      <c r="U7" s="0" t="n">
        <v>828.6</v>
      </c>
      <c r="V7" s="0" t="n">
        <v>827.9</v>
      </c>
      <c r="W7" s="0" t="n">
        <v>828.9</v>
      </c>
      <c r="X7" s="6" t="n">
        <f aca="false">AVERAGE(D7:W7)</f>
        <v>829.48</v>
      </c>
      <c r="Y7" s="7" t="n">
        <f aca="false">_xlfn.STDEV.S(D7:W7)</f>
        <v>2.60780205900434</v>
      </c>
      <c r="Z7" s="7" t="n">
        <f aca="false">Y7/X7</f>
        <v>0.00314389986377531</v>
      </c>
    </row>
    <row r="8" customFormat="false" ht="16.75" hidden="false" customHeight="false" outlineLevel="0" collapsed="false">
      <c r="B8" s="4"/>
      <c r="C8" s="5" t="n">
        <v>38</v>
      </c>
      <c r="D8" s="0" t="n">
        <v>831.5</v>
      </c>
      <c r="E8" s="0" t="n">
        <v>830.8</v>
      </c>
      <c r="F8" s="0" t="n">
        <v>831.3</v>
      </c>
      <c r="G8" s="0" t="n">
        <v>828.9</v>
      </c>
      <c r="H8" s="0" t="n">
        <v>831.6</v>
      </c>
      <c r="I8" s="0" t="n">
        <v>832.3</v>
      </c>
      <c r="J8" s="0" t="n">
        <v>835.7</v>
      </c>
      <c r="K8" s="0" t="n">
        <v>829.4</v>
      </c>
      <c r="L8" s="0" t="n">
        <v>830</v>
      </c>
      <c r="N8" s="0" t="n">
        <v>833.4</v>
      </c>
      <c r="O8" s="0" t="n">
        <v>831.5</v>
      </c>
      <c r="P8" s="0" t="n">
        <v>830.1</v>
      </c>
      <c r="Q8" s="0" t="n">
        <v>832.2</v>
      </c>
      <c r="R8" s="0" t="n">
        <v>830.7</v>
      </c>
      <c r="S8" s="0" t="n">
        <v>825.7</v>
      </c>
      <c r="T8" s="0" t="n">
        <v>829.2</v>
      </c>
      <c r="U8" s="0" t="n">
        <v>828.2</v>
      </c>
      <c r="V8" s="0" t="n">
        <v>829.3</v>
      </c>
      <c r="W8" s="0" t="n">
        <v>834.8</v>
      </c>
      <c r="X8" s="6" t="n">
        <f aca="false">AVERAGE(D8:W8)</f>
        <v>830.873684210526</v>
      </c>
      <c r="Y8" s="7" t="n">
        <f aca="false">_xlfn.STDEV.S(D8:W8)</f>
        <v>2.32183885584564</v>
      </c>
      <c r="Z8" s="7" t="n">
        <f aca="false">Y8/X8</f>
        <v>0.00279445468061946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796</v>
      </c>
      <c r="E9" s="0" t="n">
        <v>799.9</v>
      </c>
      <c r="F9" s="0" t="n">
        <v>802.5</v>
      </c>
      <c r="G9" s="0" t="n">
        <v>799.4</v>
      </c>
      <c r="H9" s="0" t="n">
        <v>803.9</v>
      </c>
      <c r="I9" s="0" t="n">
        <v>789.8</v>
      </c>
      <c r="J9" s="0" t="n">
        <v>811.7</v>
      </c>
      <c r="K9" s="0" t="n">
        <v>796.2</v>
      </c>
      <c r="L9" s="0" t="n">
        <v>810.6</v>
      </c>
      <c r="M9" s="0" t="n">
        <v>808.8</v>
      </c>
      <c r="N9" s="0" t="n">
        <v>787.9</v>
      </c>
      <c r="O9" s="0" t="n">
        <v>806.1</v>
      </c>
      <c r="P9" s="0" t="n">
        <v>799.6</v>
      </c>
      <c r="Q9" s="0" t="n">
        <v>785.5</v>
      </c>
      <c r="R9" s="0" t="n">
        <v>787.1</v>
      </c>
      <c r="S9" s="0" t="n">
        <v>798.9</v>
      </c>
      <c r="T9" s="0" t="n">
        <v>788.8</v>
      </c>
      <c r="U9" s="0" t="n">
        <v>803</v>
      </c>
      <c r="V9" s="0" t="n">
        <v>796.1</v>
      </c>
      <c r="W9" s="0" t="n">
        <v>801.4</v>
      </c>
      <c r="X9" s="6" t="n">
        <f aca="false">AVERAGE(D9:W9)</f>
        <v>798.66</v>
      </c>
      <c r="Y9" s="7" t="n">
        <f aca="false">_xlfn.STDEV.S(D9:W9)</f>
        <v>7.81479029586982</v>
      </c>
      <c r="Z9" s="7" t="n">
        <f aca="false">Y9/X9</f>
        <v>0.0097848775397163</v>
      </c>
    </row>
    <row r="10" customFormat="false" ht="16.75" hidden="false" customHeight="false" outlineLevel="0" collapsed="false">
      <c r="B10" s="4"/>
      <c r="C10" s="5" t="n">
        <v>63</v>
      </c>
      <c r="D10" s="0" t="n">
        <v>802</v>
      </c>
      <c r="E10" s="0" t="n">
        <v>804.6</v>
      </c>
      <c r="F10" s="0" t="n">
        <v>809.8</v>
      </c>
      <c r="G10" s="0" t="n">
        <v>809.9</v>
      </c>
      <c r="H10" s="0" t="n">
        <v>802.9</v>
      </c>
      <c r="I10" s="0" t="n">
        <v>810.8</v>
      </c>
      <c r="J10" s="0" t="n">
        <v>799.6</v>
      </c>
      <c r="K10" s="0" t="n">
        <v>794</v>
      </c>
      <c r="L10" s="0" t="n">
        <v>804.2</v>
      </c>
      <c r="M10" s="0" t="n">
        <v>811.8</v>
      </c>
      <c r="N10" s="0" t="n">
        <v>797.9</v>
      </c>
      <c r="O10" s="0" t="n">
        <v>795.5</v>
      </c>
      <c r="P10" s="0" t="n">
        <v>794.4</v>
      </c>
      <c r="Q10" s="0" t="n">
        <v>805.7</v>
      </c>
      <c r="R10" s="0" t="n">
        <v>794.4</v>
      </c>
      <c r="S10" s="0" t="n">
        <v>805.8</v>
      </c>
      <c r="T10" s="0" t="n">
        <v>801.5</v>
      </c>
      <c r="U10" s="0" t="n">
        <v>807.5</v>
      </c>
      <c r="V10" s="0" t="n">
        <v>806.7</v>
      </c>
      <c r="W10" s="0" t="n">
        <v>804.1</v>
      </c>
      <c r="X10" s="6" t="n">
        <f aca="false">AVERAGE(D10:W10)</f>
        <v>803.155</v>
      </c>
      <c r="Y10" s="7" t="n">
        <f aca="false">_xlfn.STDEV.S(D10:W10)</f>
        <v>5.67510491440234</v>
      </c>
      <c r="Z10" s="7" t="n">
        <f aca="false">Y10/X10</f>
        <v>0.00706601454812875</v>
      </c>
    </row>
    <row r="11" customFormat="false" ht="16.75" hidden="false" customHeight="false" outlineLevel="0" collapsed="false">
      <c r="B11" s="4"/>
      <c r="C11" s="5" t="n">
        <v>93</v>
      </c>
      <c r="D11" s="0" t="n">
        <v>819</v>
      </c>
      <c r="E11" s="0" t="n">
        <v>817.3</v>
      </c>
      <c r="F11" s="0" t="n">
        <v>806.9</v>
      </c>
      <c r="G11" s="0" t="n">
        <v>814.5</v>
      </c>
      <c r="H11" s="0" t="n">
        <v>808.4</v>
      </c>
      <c r="I11" s="0" t="n">
        <v>832.7</v>
      </c>
      <c r="J11" s="0" t="n">
        <v>819.7</v>
      </c>
      <c r="K11" s="0" t="n">
        <v>824.6</v>
      </c>
      <c r="L11" s="0" t="n">
        <v>806.3</v>
      </c>
      <c r="M11" s="0" t="n">
        <v>805.2</v>
      </c>
      <c r="N11" s="0" t="n">
        <v>814.2</v>
      </c>
      <c r="O11" s="0" t="n">
        <v>815</v>
      </c>
      <c r="P11" s="0" t="n">
        <v>812.1</v>
      </c>
      <c r="Q11" s="0" t="n">
        <v>823.7</v>
      </c>
      <c r="R11" s="0" t="n">
        <v>822.4</v>
      </c>
      <c r="S11" s="0" t="n">
        <v>819.2</v>
      </c>
      <c r="T11" s="0" t="n">
        <v>814.1</v>
      </c>
      <c r="U11" s="0" t="n">
        <v>816.2</v>
      </c>
      <c r="V11" s="0" t="n">
        <v>818.7</v>
      </c>
      <c r="W11" s="0" t="n">
        <v>804.5</v>
      </c>
      <c r="X11" s="6" t="n">
        <f aca="false">AVERAGE(D11:W11)</f>
        <v>815.735</v>
      </c>
      <c r="Y11" s="7" t="n">
        <f aca="false">_xlfn.STDEV.S(D11:W11)</f>
        <v>7.26384521919494</v>
      </c>
      <c r="Z11" s="7" t="n">
        <f aca="false">Y11/X11</f>
        <v>0.008904662934893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673</v>
      </c>
      <c r="E12" s="0" t="n">
        <v>661</v>
      </c>
      <c r="F12" s="0" t="n">
        <v>675.6</v>
      </c>
      <c r="G12" s="0" t="n">
        <v>676.3</v>
      </c>
      <c r="H12" s="0" t="n">
        <v>666.7</v>
      </c>
      <c r="I12" s="0" t="n">
        <v>677.7</v>
      </c>
      <c r="J12" s="0" t="n">
        <v>665</v>
      </c>
      <c r="K12" s="0" t="n">
        <v>664.5</v>
      </c>
      <c r="L12" s="0" t="n">
        <v>674.8</v>
      </c>
      <c r="M12" s="0" t="n">
        <v>668.8</v>
      </c>
      <c r="N12" s="0" t="n">
        <v>665.9</v>
      </c>
      <c r="O12" s="0" t="n">
        <v>676</v>
      </c>
      <c r="P12" s="0" t="n">
        <v>675.2</v>
      </c>
      <c r="Q12" s="0" t="n">
        <v>675.1</v>
      </c>
      <c r="R12" s="0" t="n">
        <v>663.2</v>
      </c>
      <c r="S12" s="0" t="n">
        <v>656</v>
      </c>
      <c r="T12" s="0" t="n">
        <v>674.2</v>
      </c>
      <c r="U12" s="0" t="n">
        <v>664.1</v>
      </c>
      <c r="V12" s="0" t="n">
        <v>686</v>
      </c>
      <c r="W12" s="0" t="n">
        <v>680.4</v>
      </c>
      <c r="X12" s="6" t="n">
        <f aca="false">AVERAGE(D12:W12)</f>
        <v>670.975</v>
      </c>
      <c r="Y12" s="7" t="n">
        <f aca="false">_xlfn.STDEV.S(D12:W12)</f>
        <v>7.45744947227797</v>
      </c>
      <c r="Z12" s="7" t="n">
        <f aca="false">Y12/X12</f>
        <v>0.0111143477361719</v>
      </c>
    </row>
    <row r="13" customFormat="false" ht="16.75" hidden="false" customHeight="false" outlineLevel="0" collapsed="false">
      <c r="B13" s="4"/>
      <c r="C13" s="5" t="n">
        <v>38</v>
      </c>
      <c r="D13" s="0" t="n">
        <v>689.7</v>
      </c>
      <c r="E13" s="0" t="n">
        <v>701.4</v>
      </c>
      <c r="F13" s="0" t="n">
        <v>690.4</v>
      </c>
      <c r="G13" s="0" t="n">
        <v>679.2</v>
      </c>
      <c r="H13" s="0" t="n">
        <v>677.7</v>
      </c>
      <c r="I13" s="0" t="n">
        <v>695.7</v>
      </c>
      <c r="J13" s="0" t="n">
        <v>681.3</v>
      </c>
      <c r="K13" s="0" t="n">
        <v>685.2</v>
      </c>
      <c r="L13" s="0" t="n">
        <v>685.2</v>
      </c>
      <c r="M13" s="0" t="n">
        <v>676.9</v>
      </c>
      <c r="N13" s="0" t="n">
        <v>699.7</v>
      </c>
      <c r="O13" s="0" t="n">
        <v>689.6</v>
      </c>
      <c r="P13" s="0" t="n">
        <v>680</v>
      </c>
      <c r="Q13" s="0" t="n">
        <v>691.6</v>
      </c>
      <c r="R13" s="0" t="n">
        <v>692.9</v>
      </c>
      <c r="S13" s="0" t="n">
        <v>679.5</v>
      </c>
      <c r="T13" s="0" t="n">
        <v>687.2</v>
      </c>
      <c r="U13" s="0" t="n">
        <v>685.9</v>
      </c>
      <c r="V13" s="0" t="n">
        <v>694.3</v>
      </c>
      <c r="W13" s="0" t="n">
        <v>683.3</v>
      </c>
      <c r="X13" s="6" t="n">
        <f aca="false">AVERAGE(D13:W13)</f>
        <v>687.335</v>
      </c>
      <c r="Y13" s="7" t="n">
        <f aca="false">_xlfn.STDEV.S(D13:W13)</f>
        <v>7.20184735072592</v>
      </c>
      <c r="Z13" s="7" t="n">
        <f aca="false">Y13/X13</f>
        <v>0.0104779290312961</v>
      </c>
    </row>
    <row r="14" customFormat="false" ht="16.75" hidden="false" customHeight="false" outlineLevel="0" collapsed="false">
      <c r="B14" s="4"/>
      <c r="C14" s="5" t="n">
        <v>50</v>
      </c>
      <c r="D14" s="0" t="n">
        <v>705.3</v>
      </c>
      <c r="E14" s="0" t="n">
        <v>701.9</v>
      </c>
      <c r="F14" s="0" t="n">
        <v>704.3</v>
      </c>
      <c r="G14" s="0" t="n">
        <v>699.2</v>
      </c>
      <c r="H14" s="0" t="n">
        <v>706.8</v>
      </c>
      <c r="I14" s="0" t="n">
        <v>698.5</v>
      </c>
      <c r="J14" s="0" t="n">
        <v>708.2</v>
      </c>
      <c r="K14" s="0" t="n">
        <v>702.7</v>
      </c>
      <c r="L14" s="0" t="n">
        <v>702.7</v>
      </c>
      <c r="M14" s="0" t="n">
        <v>715.7</v>
      </c>
      <c r="N14" s="0" t="n">
        <v>704.3</v>
      </c>
      <c r="O14" s="0" t="n">
        <v>708.1</v>
      </c>
      <c r="P14" s="0" t="n">
        <v>709.3</v>
      </c>
      <c r="Q14" s="0" t="n">
        <v>714.7</v>
      </c>
      <c r="R14" s="0" t="n">
        <v>713.5</v>
      </c>
      <c r="S14" s="0" t="n">
        <v>699.5</v>
      </c>
      <c r="T14" s="0" t="n">
        <v>708.5</v>
      </c>
      <c r="U14" s="0" t="n">
        <v>715.6</v>
      </c>
      <c r="V14" s="0" t="n">
        <v>687.2</v>
      </c>
      <c r="W14" s="0" t="n">
        <v>697.7</v>
      </c>
      <c r="X14" s="6" t="n">
        <f aca="false">AVERAGE(D14:W14)</f>
        <v>705.185</v>
      </c>
      <c r="Y14" s="7" t="n">
        <f aca="false">_xlfn.STDEV.S(D14:W14)</f>
        <v>7.04820059156572</v>
      </c>
      <c r="Z14" s="7" t="n">
        <f aca="false">Y14/X14</f>
        <v>0.0099948248921428</v>
      </c>
    </row>
    <row r="15" customFormat="false" ht="16.75" hidden="false" customHeight="false" outlineLevel="0" collapsed="false">
      <c r="B15" s="4"/>
      <c r="C15" s="5" t="n">
        <v>75</v>
      </c>
      <c r="D15" s="0" t="n">
        <v>695.5</v>
      </c>
      <c r="E15" s="0" t="n">
        <v>704.2</v>
      </c>
      <c r="F15" s="0" t="n">
        <v>687</v>
      </c>
      <c r="G15" s="0" t="n">
        <v>717.1</v>
      </c>
      <c r="H15" s="0" t="n">
        <v>715.4</v>
      </c>
      <c r="I15" s="0" t="n">
        <v>707.5</v>
      </c>
      <c r="J15" s="0" t="n">
        <v>710.5</v>
      </c>
      <c r="K15" s="0" t="n">
        <v>715.7</v>
      </c>
      <c r="L15" s="0" t="n">
        <v>709.8</v>
      </c>
      <c r="M15" s="0" t="n">
        <v>706.4</v>
      </c>
      <c r="N15" s="0" t="n">
        <v>707.1</v>
      </c>
      <c r="O15" s="0" t="n">
        <v>696.3</v>
      </c>
      <c r="P15" s="0" t="n">
        <v>700.3</v>
      </c>
      <c r="Q15" s="0" t="n">
        <v>721.9</v>
      </c>
      <c r="R15" s="0" t="n">
        <v>709.5</v>
      </c>
      <c r="S15" s="0" t="n">
        <v>700.2</v>
      </c>
      <c r="T15" s="0" t="n">
        <v>711.3</v>
      </c>
      <c r="U15" s="0" t="n">
        <v>707.2</v>
      </c>
      <c r="V15" s="0" t="n">
        <v>725.1</v>
      </c>
      <c r="W15" s="0" t="n">
        <v>706.3</v>
      </c>
      <c r="X15" s="6" t="n">
        <f aca="false">AVERAGE(D15:W15)</f>
        <v>707.715</v>
      </c>
      <c r="Y15" s="7" t="n">
        <f aca="false">_xlfn.STDEV.S(D15:W15)</f>
        <v>9.11720611637256</v>
      </c>
      <c r="Z15" s="7" t="n">
        <f aca="false">Y15/X15</f>
        <v>0.0128825955594732</v>
      </c>
    </row>
    <row r="16" customFormat="false" ht="16.75" hidden="false" customHeight="false" outlineLevel="0" collapsed="false">
      <c r="B16" s="4"/>
      <c r="C16" s="5" t="n">
        <v>100</v>
      </c>
      <c r="D16" s="0" t="n">
        <v>703.5</v>
      </c>
      <c r="E16" s="0" t="n">
        <v>740.4</v>
      </c>
      <c r="F16" s="0" t="n">
        <v>718</v>
      </c>
      <c r="G16" s="0" t="n">
        <v>717.2</v>
      </c>
      <c r="H16" s="0" t="n">
        <v>729</v>
      </c>
      <c r="I16" s="0" t="n">
        <v>716.7</v>
      </c>
      <c r="J16" s="0" t="n">
        <v>716.9</v>
      </c>
      <c r="K16" s="0" t="n">
        <v>725.4</v>
      </c>
      <c r="L16" s="0" t="n">
        <v>721.1</v>
      </c>
      <c r="M16" s="0" t="n">
        <v>715</v>
      </c>
      <c r="N16" s="0" t="n">
        <v>738.5</v>
      </c>
      <c r="O16" s="0" t="n">
        <v>715.8</v>
      </c>
      <c r="P16" s="0" t="n">
        <v>716.6</v>
      </c>
      <c r="Q16" s="0" t="n">
        <v>710.8</v>
      </c>
      <c r="R16" s="0" t="n">
        <v>732</v>
      </c>
      <c r="S16" s="0" t="n">
        <v>728.1</v>
      </c>
      <c r="T16" s="0" t="n">
        <v>713.8</v>
      </c>
      <c r="U16" s="0" t="n">
        <v>729.6</v>
      </c>
      <c r="V16" s="0" t="n">
        <v>721.3</v>
      </c>
      <c r="W16" s="0" t="n">
        <v>733.6</v>
      </c>
      <c r="X16" s="6" t="n">
        <f aca="false">AVERAGE(D16:W16)</f>
        <v>722.165</v>
      </c>
      <c r="Y16" s="7" t="n">
        <f aca="false">_xlfn.STDEV.S(D16:W16)</f>
        <v>9.58706776971211</v>
      </c>
      <c r="Z16" s="7" t="n">
        <f aca="false">Y16/X16</f>
        <v>0.0132754533516746</v>
      </c>
    </row>
    <row r="17" customFormat="false" ht="16.75" hidden="false" customHeight="false" outlineLevel="0" collapsed="false">
      <c r="B17" s="4"/>
      <c r="C17" s="5" t="n">
        <v>150</v>
      </c>
      <c r="D17" s="0" t="n">
        <v>760.9</v>
      </c>
      <c r="E17" s="0" t="n">
        <v>775.9</v>
      </c>
      <c r="F17" s="0" t="n">
        <v>778.3</v>
      </c>
      <c r="G17" s="0" t="n">
        <v>769</v>
      </c>
      <c r="H17" s="0" t="n">
        <v>779.2</v>
      </c>
      <c r="I17" s="0" t="n">
        <v>743.7</v>
      </c>
      <c r="J17" s="0" t="n">
        <v>752.1</v>
      </c>
      <c r="K17" s="0" t="n">
        <v>727.7</v>
      </c>
      <c r="L17" s="0" t="n">
        <v>744.4</v>
      </c>
      <c r="M17" s="0" t="n">
        <v>774.7</v>
      </c>
      <c r="N17" s="0" t="n">
        <v>770.9</v>
      </c>
      <c r="O17" s="0" t="n">
        <v>721.3</v>
      </c>
      <c r="P17" s="0" t="n">
        <v>776.6</v>
      </c>
      <c r="Q17" s="0" t="n">
        <v>707.4</v>
      </c>
      <c r="R17" s="0" t="n">
        <v>765.2</v>
      </c>
      <c r="S17" s="0" t="n">
        <v>768.1</v>
      </c>
      <c r="T17" s="0" t="n">
        <v>763.8</v>
      </c>
      <c r="U17" s="0" t="n">
        <v>760.3</v>
      </c>
      <c r="V17" s="0" t="n">
        <v>737.4</v>
      </c>
      <c r="W17" s="0" t="n">
        <v>772.7</v>
      </c>
      <c r="X17" s="6" t="n">
        <f aca="false">AVERAGE(D17:W17)</f>
        <v>757.48</v>
      </c>
      <c r="Y17" s="7" t="n">
        <f aca="false">_xlfn.STDEV.S(D17:W17)</f>
        <v>20.7491686580451</v>
      </c>
      <c r="Z17" s="7" t="n">
        <f aca="false">Y17/X17</f>
        <v>0.0273923650235585</v>
      </c>
    </row>
    <row r="18" customFormat="false" ht="15" hidden="false" customHeight="true" outlineLevel="0" collapsed="false">
      <c r="A18" s="1" t="s">
        <v>0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824.6</v>
      </c>
      <c r="E23" s="0" t="n">
        <v>823</v>
      </c>
      <c r="F23" s="0" t="n">
        <v>823.3</v>
      </c>
      <c r="G23" s="0" t="n">
        <v>824.2</v>
      </c>
      <c r="H23" s="0" t="n">
        <v>820.3</v>
      </c>
      <c r="I23" s="0" t="n">
        <v>822.6</v>
      </c>
      <c r="J23" s="0" t="n">
        <v>824.7</v>
      </c>
      <c r="K23" s="0" t="n">
        <v>822.5</v>
      </c>
      <c r="L23" s="0" t="n">
        <v>824.9</v>
      </c>
      <c r="M23" s="0" t="n">
        <v>823.6</v>
      </c>
      <c r="N23" s="0" t="n">
        <v>822.6</v>
      </c>
      <c r="O23" s="0" t="n">
        <v>822</v>
      </c>
      <c r="P23" s="0" t="n">
        <v>823.6</v>
      </c>
      <c r="Q23" s="0" t="n">
        <v>822.3</v>
      </c>
      <c r="R23" s="0" t="n">
        <v>825.9</v>
      </c>
      <c r="S23" s="0" t="n">
        <v>826</v>
      </c>
      <c r="T23" s="0" t="n">
        <v>829.2</v>
      </c>
      <c r="U23" s="0" t="n">
        <v>823.9</v>
      </c>
      <c r="V23" s="0" t="n">
        <v>824</v>
      </c>
      <c r="W23" s="0" t="n">
        <v>828.8</v>
      </c>
      <c r="X23" s="6" t="n">
        <f aca="false">AVERAGE(D23:W23)</f>
        <v>824.1</v>
      </c>
      <c r="Y23" s="7" t="n">
        <f aca="false">_xlfn.STDEV.S(D23:W23)</f>
        <v>2.14917364780538</v>
      </c>
      <c r="Z23" s="7" t="n">
        <f aca="false">Y23/X23</f>
        <v>0.00260790395316755</v>
      </c>
    </row>
    <row r="24" customFormat="false" ht="16.75" hidden="false" customHeight="false" outlineLevel="0" collapsed="false">
      <c r="B24" s="4"/>
      <c r="C24" s="5" t="n">
        <v>25</v>
      </c>
      <c r="D24" s="0" t="n">
        <v>825.4</v>
      </c>
      <c r="E24" s="0" t="n">
        <v>825.1</v>
      </c>
      <c r="F24" s="0" t="n">
        <v>821.7</v>
      </c>
      <c r="G24" s="0" t="n">
        <v>823.7</v>
      </c>
      <c r="H24" s="0" t="n">
        <v>825.5</v>
      </c>
      <c r="I24" s="0" t="n">
        <v>828.5</v>
      </c>
      <c r="J24" s="0" t="n">
        <v>824.1</v>
      </c>
      <c r="K24" s="0" t="n">
        <v>823.7</v>
      </c>
      <c r="L24" s="0" t="n">
        <v>825.5</v>
      </c>
      <c r="M24" s="0" t="n">
        <v>825.4</v>
      </c>
      <c r="N24" s="0" t="n">
        <v>826.6</v>
      </c>
      <c r="O24" s="0" t="n">
        <v>823.9</v>
      </c>
      <c r="P24" s="0" t="n">
        <v>825.8</v>
      </c>
      <c r="Q24" s="0" t="n">
        <v>824.3</v>
      </c>
      <c r="R24" s="0" t="n">
        <v>827.5</v>
      </c>
      <c r="S24" s="0" t="n">
        <v>825.2</v>
      </c>
      <c r="T24" s="0" t="n">
        <v>831.9</v>
      </c>
      <c r="U24" s="0" t="n">
        <v>830</v>
      </c>
      <c r="V24" s="0" t="n">
        <v>830.6</v>
      </c>
      <c r="W24" s="0" t="n">
        <v>825.8</v>
      </c>
      <c r="X24" s="6" t="n">
        <f aca="false">AVERAGE(D24:W24)</f>
        <v>826.01</v>
      </c>
      <c r="Y24" s="7" t="n">
        <f aca="false">_xlfn.STDEV.S(D24:W24)</f>
        <v>2.55010835683092</v>
      </c>
      <c r="Z24" s="7" t="n">
        <f aca="false">Y24/X24</f>
        <v>0.00308726087678227</v>
      </c>
    </row>
    <row r="25" customFormat="false" ht="16.75" hidden="false" customHeight="false" outlineLevel="0" collapsed="false">
      <c r="B25" s="4"/>
      <c r="C25" s="5" t="n">
        <v>38</v>
      </c>
      <c r="D25" s="0" t="n">
        <v>829.2</v>
      </c>
      <c r="E25" s="0" t="n">
        <v>826</v>
      </c>
      <c r="F25" s="0" t="n">
        <v>826.4</v>
      </c>
      <c r="G25" s="0" t="n">
        <v>832</v>
      </c>
      <c r="H25" s="0" t="n">
        <v>827.9</v>
      </c>
      <c r="I25" s="0" t="n">
        <v>827.9</v>
      </c>
      <c r="J25" s="0" t="n">
        <v>828.6</v>
      </c>
      <c r="K25" s="0" t="n">
        <v>827.8</v>
      </c>
      <c r="L25" s="0" t="n">
        <v>824.6</v>
      </c>
      <c r="M25" s="0" t="n">
        <v>829.3</v>
      </c>
      <c r="N25" s="0" t="n">
        <v>825</v>
      </c>
      <c r="O25" s="0" t="n">
        <v>828.3</v>
      </c>
      <c r="P25" s="0" t="n">
        <v>828.3</v>
      </c>
      <c r="Q25" s="0" t="n">
        <v>825.9</v>
      </c>
      <c r="R25" s="0" t="n">
        <v>827.1</v>
      </c>
      <c r="S25" s="0" t="n">
        <v>824.9</v>
      </c>
      <c r="T25" s="0" t="n">
        <v>824.6</v>
      </c>
      <c r="U25" s="0" t="n">
        <v>825.4</v>
      </c>
      <c r="V25" s="0" t="n">
        <v>827</v>
      </c>
      <c r="W25" s="0" t="n">
        <v>826.7</v>
      </c>
      <c r="X25" s="6" t="n">
        <f aca="false">AVERAGE(D25:W25)</f>
        <v>827.145</v>
      </c>
      <c r="Y25" s="7" t="n">
        <f aca="false">_xlfn.STDEV.S(D25:W25)</f>
        <v>1.89277712981689</v>
      </c>
      <c r="Z25" s="7" t="n">
        <f aca="false">Y25/X25</f>
        <v>0.00228832566214738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776</v>
      </c>
      <c r="E26" s="0" t="n">
        <v>774.9</v>
      </c>
      <c r="F26" s="0" t="n">
        <v>781.8</v>
      </c>
      <c r="G26" s="0" t="n">
        <v>784.4</v>
      </c>
      <c r="H26" s="0" t="n">
        <v>783.9</v>
      </c>
      <c r="I26" s="0" t="n">
        <v>784.6</v>
      </c>
      <c r="J26" s="0" t="n">
        <v>783.5</v>
      </c>
      <c r="K26" s="0" t="n">
        <v>787.7</v>
      </c>
      <c r="L26" s="0" t="n">
        <v>782.6</v>
      </c>
      <c r="M26" s="0" t="n">
        <v>786.8</v>
      </c>
      <c r="N26" s="0" t="n">
        <v>788.6</v>
      </c>
      <c r="O26" s="0" t="n">
        <v>780.8</v>
      </c>
      <c r="P26" s="0" t="n">
        <v>807</v>
      </c>
      <c r="Q26" s="0" t="n">
        <v>774.6</v>
      </c>
      <c r="R26" s="0" t="n">
        <v>786.1</v>
      </c>
      <c r="S26" s="0" t="n">
        <v>775.6</v>
      </c>
      <c r="T26" s="0" t="n">
        <v>779.7</v>
      </c>
      <c r="U26" s="0" t="n">
        <v>799.9</v>
      </c>
      <c r="V26" s="0" t="n">
        <v>786.1</v>
      </c>
      <c r="W26" s="0" t="n">
        <v>777.4</v>
      </c>
      <c r="X26" s="6" t="n">
        <f aca="false">AVERAGE(D26:W26)</f>
        <v>784.1</v>
      </c>
      <c r="Y26" s="7" t="n">
        <f aca="false">_xlfn.STDEV.S(D26:W26)</f>
        <v>8.00894237054661</v>
      </c>
      <c r="Z26" s="7" t="n">
        <f aca="false">Y26/X26</f>
        <v>0.0102141848878289</v>
      </c>
    </row>
    <row r="27" customFormat="false" ht="16.75" hidden="false" customHeight="false" outlineLevel="0" collapsed="false">
      <c r="B27" s="4"/>
      <c r="C27" s="5" t="n">
        <v>63</v>
      </c>
      <c r="D27" s="0" t="n">
        <v>777.9</v>
      </c>
      <c r="E27" s="0" t="n">
        <v>807.9</v>
      </c>
      <c r="F27" s="0" t="n">
        <v>806.6</v>
      </c>
      <c r="G27" s="0" t="n">
        <v>784.2</v>
      </c>
      <c r="H27" s="0" t="n">
        <v>795.5</v>
      </c>
      <c r="I27" s="0" t="n">
        <v>800.9</v>
      </c>
      <c r="J27" s="0" t="n">
        <v>790.9</v>
      </c>
      <c r="K27" s="0" t="n">
        <v>809.1</v>
      </c>
      <c r="L27" s="0" t="n">
        <v>803.7</v>
      </c>
      <c r="M27" s="0" t="n">
        <v>790.6</v>
      </c>
      <c r="N27" s="0" t="n">
        <v>782.9</v>
      </c>
      <c r="O27" s="0" t="n">
        <v>781.8</v>
      </c>
      <c r="P27" s="0" t="n">
        <v>782.4</v>
      </c>
      <c r="Q27" s="0" t="n">
        <v>818.5</v>
      </c>
      <c r="R27" s="0" t="n">
        <v>780.8</v>
      </c>
      <c r="S27" s="0" t="n">
        <v>786.2</v>
      </c>
      <c r="T27" s="0" t="n">
        <v>794.3</v>
      </c>
      <c r="U27" s="0" t="n">
        <v>794</v>
      </c>
      <c r="V27" s="0" t="n">
        <v>798.2</v>
      </c>
      <c r="W27" s="0" t="n">
        <v>792.5</v>
      </c>
      <c r="X27" s="6" t="n">
        <f aca="false">AVERAGE(D27:W27)</f>
        <v>793.945</v>
      </c>
      <c r="Y27" s="7" t="n">
        <f aca="false">_xlfn.STDEV.S(D27:W27)</f>
        <v>11.1501935314807</v>
      </c>
      <c r="Z27" s="7" t="n">
        <f aca="false">Y27/X27</f>
        <v>0.0140440377248811</v>
      </c>
    </row>
    <row r="28" customFormat="false" ht="16.75" hidden="false" customHeight="false" outlineLevel="0" collapsed="false">
      <c r="B28" s="4"/>
      <c r="C28" s="5" t="n">
        <v>93</v>
      </c>
      <c r="D28" s="0" t="n">
        <v>801.2</v>
      </c>
      <c r="E28" s="0" t="n">
        <v>788.5</v>
      </c>
      <c r="F28" s="0" t="n">
        <v>795.9</v>
      </c>
      <c r="G28" s="0" t="n">
        <v>802.9</v>
      </c>
      <c r="H28" s="0" t="n">
        <v>802.9</v>
      </c>
      <c r="I28" s="0" t="n">
        <v>798.9</v>
      </c>
      <c r="J28" s="0" t="n">
        <v>803.6</v>
      </c>
      <c r="K28" s="0" t="n">
        <v>785.4</v>
      </c>
      <c r="L28" s="0" t="n">
        <v>800.8</v>
      </c>
      <c r="M28" s="0" t="n">
        <v>808.7</v>
      </c>
      <c r="N28" s="0" t="n">
        <v>798.1</v>
      </c>
      <c r="O28" s="0" t="n">
        <v>791.4</v>
      </c>
      <c r="P28" s="0" t="n">
        <v>795.4</v>
      </c>
      <c r="Q28" s="0" t="n">
        <v>792.2</v>
      </c>
      <c r="R28" s="0" t="n">
        <v>791.8</v>
      </c>
      <c r="S28" s="0" t="n">
        <v>811.8</v>
      </c>
      <c r="T28" s="0" t="n">
        <v>793.4</v>
      </c>
      <c r="U28" s="0" t="n">
        <v>821</v>
      </c>
      <c r="V28" s="0" t="n">
        <v>793.9</v>
      </c>
      <c r="W28" s="0" t="n">
        <v>810.2</v>
      </c>
      <c r="X28" s="6" t="n">
        <f aca="false">AVERAGE(D28:W28)</f>
        <v>799.4</v>
      </c>
      <c r="Y28" s="7" t="n">
        <f aca="false">_xlfn.STDEV.S(D28:W28)</f>
        <v>8.75286419287695</v>
      </c>
      <c r="Z28" s="7" t="n">
        <f aca="false">Y28/X28</f>
        <v>0.0109492922102539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666.8</v>
      </c>
      <c r="E29" s="0" t="n">
        <v>677.7</v>
      </c>
      <c r="F29" s="0" t="n">
        <v>657.1</v>
      </c>
      <c r="G29" s="0" t="n">
        <v>662.2</v>
      </c>
      <c r="H29" s="0" t="n">
        <v>681</v>
      </c>
      <c r="I29" s="0" t="n">
        <v>674.2</v>
      </c>
      <c r="J29" s="0" t="n">
        <v>667.4</v>
      </c>
      <c r="K29" s="0" t="n">
        <v>659.3</v>
      </c>
      <c r="L29" s="0" t="n">
        <v>669.7</v>
      </c>
      <c r="M29" s="0" t="n">
        <v>672.3</v>
      </c>
      <c r="N29" s="0" t="n">
        <v>674</v>
      </c>
      <c r="O29" s="0" t="n">
        <v>671.6</v>
      </c>
      <c r="P29" s="0" t="n">
        <v>679.6</v>
      </c>
      <c r="Q29" s="0" t="n">
        <v>656.5</v>
      </c>
      <c r="R29" s="0" t="n">
        <v>677.8</v>
      </c>
      <c r="S29" s="0" t="n">
        <v>662.7</v>
      </c>
      <c r="T29" s="0" t="n">
        <v>667.7</v>
      </c>
      <c r="U29" s="0" t="n">
        <v>675.7</v>
      </c>
      <c r="V29" s="0" t="n">
        <v>671.2</v>
      </c>
      <c r="W29" s="0" t="n">
        <v>666.6</v>
      </c>
      <c r="X29" s="6" t="n">
        <f aca="false">AVERAGE(D29:W29)</f>
        <v>669.555</v>
      </c>
      <c r="Y29" s="7" t="n">
        <f aca="false">_xlfn.STDEV.S(D29:W29)</f>
        <v>7.31246052620925</v>
      </c>
      <c r="Z29" s="7" t="n">
        <f aca="false">Y29/X29</f>
        <v>0.010921373936733</v>
      </c>
    </row>
    <row r="30" customFormat="false" ht="16.75" hidden="false" customHeight="false" outlineLevel="0" collapsed="false">
      <c r="B30" s="4"/>
      <c r="C30" s="5" t="n">
        <v>38</v>
      </c>
      <c r="D30" s="0" t="n">
        <v>683.8</v>
      </c>
      <c r="E30" s="0" t="n">
        <v>697.9</v>
      </c>
      <c r="F30" s="0" t="n">
        <v>682.7</v>
      </c>
      <c r="G30" s="0" t="n">
        <v>671.5</v>
      </c>
      <c r="H30" s="0" t="n">
        <v>685.8</v>
      </c>
      <c r="I30" s="0" t="n">
        <v>696.8</v>
      </c>
      <c r="J30" s="0" t="n">
        <v>695</v>
      </c>
      <c r="K30" s="0" t="n">
        <v>701.5</v>
      </c>
      <c r="L30" s="0" t="n">
        <v>681.8</v>
      </c>
      <c r="M30" s="0" t="n">
        <v>681.1</v>
      </c>
      <c r="N30" s="0" t="n">
        <v>686.6</v>
      </c>
      <c r="O30" s="0" t="n">
        <v>683.5</v>
      </c>
      <c r="P30" s="0" t="n">
        <v>689.2</v>
      </c>
      <c r="Q30" s="0" t="n">
        <v>680.6</v>
      </c>
      <c r="R30" s="0" t="n">
        <v>696.8</v>
      </c>
      <c r="S30" s="0" t="n">
        <v>693.7</v>
      </c>
      <c r="T30" s="0" t="n">
        <v>685.7</v>
      </c>
      <c r="U30" s="0" t="n">
        <v>689.9</v>
      </c>
      <c r="V30" s="0" t="n">
        <v>691.2</v>
      </c>
      <c r="W30" s="0" t="n">
        <v>687.5</v>
      </c>
      <c r="X30" s="6" t="n">
        <f aca="false">AVERAGE(D30:W30)</f>
        <v>688.13</v>
      </c>
      <c r="Y30" s="7" t="n">
        <f aca="false">_xlfn.STDEV.S(D30:W30)</f>
        <v>7.33758170401924</v>
      </c>
      <c r="Z30" s="7" t="n">
        <f aca="false">Y30/X30</f>
        <v>0.0106630748608827</v>
      </c>
    </row>
    <row r="31" customFormat="false" ht="16.75" hidden="false" customHeight="false" outlineLevel="0" collapsed="false">
      <c r="B31" s="4"/>
      <c r="C31" s="5" t="n">
        <v>50</v>
      </c>
      <c r="D31" s="0" t="n">
        <v>678.1</v>
      </c>
      <c r="E31" s="0" t="n">
        <v>690.5</v>
      </c>
      <c r="F31" s="0" t="n">
        <v>697.2</v>
      </c>
      <c r="G31" s="0" t="n">
        <v>694.9</v>
      </c>
      <c r="H31" s="0" t="n">
        <v>703.2</v>
      </c>
      <c r="I31" s="0" t="n">
        <v>705.2</v>
      </c>
      <c r="J31" s="0" t="n">
        <v>688.3</v>
      </c>
      <c r="K31" s="0" t="n">
        <v>688</v>
      </c>
      <c r="L31" s="0" t="n">
        <v>703.4</v>
      </c>
      <c r="M31" s="0" t="n">
        <v>697.9</v>
      </c>
      <c r="N31" s="0" t="n">
        <v>697.7</v>
      </c>
      <c r="O31" s="0" t="n">
        <v>707.2</v>
      </c>
      <c r="P31" s="0" t="n">
        <v>700.3</v>
      </c>
      <c r="Q31" s="0" t="n">
        <v>686.2</v>
      </c>
      <c r="R31" s="0" t="n">
        <v>696.9</v>
      </c>
      <c r="S31" s="0" t="n">
        <v>696.8</v>
      </c>
      <c r="T31" s="0" t="n">
        <v>713.6</v>
      </c>
      <c r="U31" s="0" t="n">
        <v>689.1</v>
      </c>
      <c r="V31" s="0" t="n">
        <v>701.9</v>
      </c>
      <c r="W31" s="0" t="n">
        <v>690.15</v>
      </c>
      <c r="X31" s="6" t="n">
        <f aca="false">AVERAGE(D31:W31)</f>
        <v>696.3275</v>
      </c>
      <c r="Y31" s="7" t="n">
        <f aca="false">_xlfn.STDEV.S(D31:W31)</f>
        <v>8.39804919389962</v>
      </c>
      <c r="Z31" s="7" t="n">
        <f aca="false">Y31/X31</f>
        <v>0.0120604876209824</v>
      </c>
    </row>
    <row r="32" customFormat="false" ht="16.75" hidden="false" customHeight="false" outlineLevel="0" collapsed="false">
      <c r="B32" s="4"/>
      <c r="C32" s="5" t="n">
        <v>75</v>
      </c>
      <c r="D32" s="0" t="n">
        <v>673.8</v>
      </c>
      <c r="E32" s="0" t="n">
        <v>681.9</v>
      </c>
      <c r="F32" s="0" t="n">
        <v>680.9</v>
      </c>
      <c r="G32" s="0" t="n">
        <v>676.5</v>
      </c>
      <c r="H32" s="0" t="n">
        <v>678.5</v>
      </c>
      <c r="I32" s="0" t="n">
        <v>676.2</v>
      </c>
      <c r="J32" s="0" t="n">
        <v>676.8</v>
      </c>
      <c r="K32" s="0" t="n">
        <v>676.8</v>
      </c>
      <c r="L32" s="0" t="n">
        <v>675.7</v>
      </c>
      <c r="M32" s="0" t="n">
        <v>693.2</v>
      </c>
      <c r="N32" s="0" t="n">
        <v>684.1</v>
      </c>
      <c r="O32" s="0" t="n">
        <v>671.9</v>
      </c>
      <c r="P32" s="0" t="n">
        <v>684.6</v>
      </c>
      <c r="Q32" s="0" t="n">
        <v>680</v>
      </c>
      <c r="R32" s="0" t="n">
        <v>676.2</v>
      </c>
      <c r="S32" s="0" t="n">
        <v>682.1</v>
      </c>
      <c r="T32" s="0" t="n">
        <v>684.1</v>
      </c>
      <c r="U32" s="0" t="n">
        <v>692.8</v>
      </c>
      <c r="V32" s="0" t="n">
        <v>688.9</v>
      </c>
      <c r="W32" s="0" t="n">
        <v>687.5</v>
      </c>
      <c r="X32" s="6" t="n">
        <f aca="false">AVERAGE(D32:W32)</f>
        <v>681.125</v>
      </c>
      <c r="Y32" s="7" t="n">
        <f aca="false">_xlfn.STDEV.S(D32:W32)</f>
        <v>6.06212356400488</v>
      </c>
      <c r="Z32" s="7" t="n">
        <f aca="false">Y32/X32</f>
        <v>0.00890016305965113</v>
      </c>
    </row>
    <row r="33" customFormat="false" ht="16.75" hidden="false" customHeight="false" outlineLevel="0" collapsed="false">
      <c r="B33" s="4"/>
      <c r="C33" s="5" t="n">
        <v>100</v>
      </c>
      <c r="D33" s="0" t="n">
        <v>678.3</v>
      </c>
      <c r="E33" s="0" t="n">
        <v>693.1</v>
      </c>
      <c r="F33" s="0" t="n">
        <v>670.3</v>
      </c>
      <c r="G33" s="0" t="n">
        <v>666.3</v>
      </c>
      <c r="H33" s="0" t="n">
        <v>692.2</v>
      </c>
      <c r="I33" s="0" t="n">
        <v>684.7</v>
      </c>
      <c r="J33" s="0" t="n">
        <v>693.7</v>
      </c>
      <c r="K33" s="0" t="n">
        <v>677.8</v>
      </c>
      <c r="L33" s="0" t="n">
        <v>683.8</v>
      </c>
      <c r="M33" s="0" t="n">
        <v>665.9</v>
      </c>
      <c r="N33" s="0" t="n">
        <v>676.3</v>
      </c>
      <c r="O33" s="0" t="n">
        <v>679.2</v>
      </c>
      <c r="P33" s="0" t="n">
        <v>661.7</v>
      </c>
      <c r="Q33" s="0" t="n">
        <v>689.8</v>
      </c>
      <c r="R33" s="0" t="n">
        <v>688.1</v>
      </c>
      <c r="S33" s="0" t="n">
        <v>669.6</v>
      </c>
      <c r="T33" s="0" t="n">
        <v>688</v>
      </c>
      <c r="U33" s="0" t="n">
        <v>676.6</v>
      </c>
      <c r="V33" s="0" t="n">
        <v>676</v>
      </c>
      <c r="W33" s="0" t="n">
        <v>691.3</v>
      </c>
      <c r="X33" s="6" t="n">
        <f aca="false">AVERAGE(D33:W33)</f>
        <v>680.135</v>
      </c>
      <c r="Y33" s="7" t="n">
        <f aca="false">_xlfn.STDEV.S(D33:W33)</f>
        <v>9.92314015452346</v>
      </c>
      <c r="Z33" s="7" t="n">
        <f aca="false">Y33/X33</f>
        <v>0.0145899566329089</v>
      </c>
    </row>
    <row r="34" customFormat="false" ht="16.75" hidden="false" customHeight="false" outlineLevel="0" collapsed="false">
      <c r="B34" s="4"/>
      <c r="C34" s="5" t="n">
        <v>150</v>
      </c>
      <c r="D34" s="0" t="n">
        <v>724.6</v>
      </c>
      <c r="E34" s="0" t="n">
        <v>720.3</v>
      </c>
      <c r="F34" s="0" t="n">
        <v>726.5</v>
      </c>
      <c r="G34" s="0" t="n">
        <v>709.3</v>
      </c>
      <c r="H34" s="0" t="n">
        <v>723.1</v>
      </c>
      <c r="I34" s="0" t="n">
        <v>723.6</v>
      </c>
      <c r="J34" s="0" t="n">
        <v>731.5</v>
      </c>
      <c r="K34" s="0" t="n">
        <v>741</v>
      </c>
      <c r="L34" s="0" t="n">
        <v>735.6</v>
      </c>
      <c r="M34" s="0" t="n">
        <v>738.5</v>
      </c>
      <c r="N34" s="0" t="n">
        <v>708.9</v>
      </c>
      <c r="O34" s="0" t="n">
        <v>745.5</v>
      </c>
      <c r="P34" s="0" t="n">
        <v>723.5</v>
      </c>
      <c r="Q34" s="0" t="n">
        <v>726.3</v>
      </c>
      <c r="R34" s="0" t="n">
        <v>728.3</v>
      </c>
      <c r="S34" s="0" t="n">
        <v>721.2</v>
      </c>
      <c r="T34" s="0" t="n">
        <v>730.1</v>
      </c>
      <c r="U34" s="0" t="n">
        <v>726.1</v>
      </c>
      <c r="V34" s="0" t="n">
        <v>726.9</v>
      </c>
      <c r="W34" s="0" t="n">
        <v>733.7</v>
      </c>
      <c r="X34" s="6" t="n">
        <f aca="false">AVERAGE(D34:W34)</f>
        <v>727.225</v>
      </c>
      <c r="Y34" s="7" t="n">
        <f aca="false">_xlfn.STDEV.S(D34:W34)</f>
        <v>9.13540682699665</v>
      </c>
      <c r="Z34" s="7" t="n">
        <f aca="false">Y34/X34</f>
        <v>0.0125620087689459</v>
      </c>
    </row>
    <row r="35" customFormat="false" ht="15" hidden="false" customHeight="true" outlineLevel="0" collapsed="false">
      <c r="A35" s="1" t="s">
        <v>0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831.7</v>
      </c>
      <c r="E40" s="0" t="n">
        <v>830.2</v>
      </c>
      <c r="F40" s="0" t="n">
        <v>824.4</v>
      </c>
      <c r="G40" s="0" t="n">
        <v>831</v>
      </c>
      <c r="H40" s="0" t="n">
        <v>831.9</v>
      </c>
      <c r="I40" s="0" t="n">
        <v>835.1</v>
      </c>
      <c r="J40" s="0" t="n">
        <v>832.3</v>
      </c>
      <c r="K40" s="0" t="n">
        <v>827.5</v>
      </c>
      <c r="L40" s="0" t="n">
        <v>829.2</v>
      </c>
      <c r="M40" s="0" t="n">
        <v>830.7</v>
      </c>
      <c r="N40" s="0" t="n">
        <v>837</v>
      </c>
      <c r="O40" s="0" t="n">
        <v>830.6</v>
      </c>
      <c r="P40" s="0" t="n">
        <v>834.8</v>
      </c>
      <c r="Q40" s="0" t="n">
        <v>833</v>
      </c>
      <c r="R40" s="0" t="n">
        <v>833.5</v>
      </c>
      <c r="S40" s="0" t="n">
        <v>827</v>
      </c>
      <c r="T40" s="0" t="n">
        <v>830.1</v>
      </c>
      <c r="U40" s="0" t="n">
        <v>830.6</v>
      </c>
      <c r="V40" s="0" t="n">
        <v>829.4</v>
      </c>
      <c r="W40" s="0" t="n">
        <v>830.1</v>
      </c>
      <c r="X40" s="6" t="n">
        <f aca="false">AVERAGE(D40:W40)</f>
        <v>831.005</v>
      </c>
      <c r="Y40" s="7" t="n">
        <f aca="false">_xlfn.STDEV.S(D40:W40)</f>
        <v>2.90887480507136</v>
      </c>
      <c r="Z40" s="7" t="n">
        <f aca="false">Y40/X40</f>
        <v>0.00350042996741459</v>
      </c>
    </row>
    <row r="41" customFormat="false" ht="16.75" hidden="false" customHeight="false" outlineLevel="0" collapsed="false">
      <c r="B41" s="4"/>
      <c r="C41" s="5" t="n">
        <v>25</v>
      </c>
      <c r="D41" s="0" t="n">
        <v>833.4</v>
      </c>
      <c r="E41" s="0" t="n">
        <v>827.7</v>
      </c>
      <c r="F41" s="0" t="n">
        <v>835.1</v>
      </c>
      <c r="G41" s="0" t="n">
        <v>826.4</v>
      </c>
      <c r="H41" s="0" t="n">
        <v>829.1</v>
      </c>
      <c r="I41" s="0" t="n">
        <v>831.6</v>
      </c>
      <c r="J41" s="0" t="n">
        <v>830.6</v>
      </c>
      <c r="K41" s="0" t="n">
        <v>830.2</v>
      </c>
      <c r="L41" s="0" t="n">
        <v>831.5</v>
      </c>
      <c r="M41" s="0" t="n">
        <v>829.2</v>
      </c>
      <c r="N41" s="0" t="n">
        <v>829.3</v>
      </c>
      <c r="O41" s="0" t="n">
        <v>830.5</v>
      </c>
      <c r="P41" s="0" t="n">
        <v>826.5</v>
      </c>
      <c r="Q41" s="0" t="n">
        <v>828.4</v>
      </c>
      <c r="R41" s="0" t="n">
        <v>828.1</v>
      </c>
      <c r="S41" s="0" t="n">
        <v>829.7</v>
      </c>
      <c r="T41" s="0" t="n">
        <v>829.6</v>
      </c>
      <c r="U41" s="0" t="n">
        <v>823.8</v>
      </c>
      <c r="V41" s="0" t="n">
        <v>826</v>
      </c>
      <c r="W41" s="0" t="n">
        <v>828.9</v>
      </c>
      <c r="X41" s="6" t="n">
        <f aca="false">AVERAGE(D41:W41)</f>
        <v>829.28</v>
      </c>
      <c r="Y41" s="7" t="n">
        <f aca="false">_xlfn.STDEV.S(D41:W41)</f>
        <v>2.58713415923774</v>
      </c>
      <c r="Z41" s="7" t="n">
        <f aca="false">Y41/X41</f>
        <v>0.00311973538399303</v>
      </c>
    </row>
    <row r="42" customFormat="false" ht="16.75" hidden="false" customHeight="false" outlineLevel="0" collapsed="false">
      <c r="B42" s="4"/>
      <c r="C42" s="5" t="n">
        <v>38</v>
      </c>
      <c r="D42" s="0" t="n">
        <v>833.6</v>
      </c>
      <c r="E42" s="0" t="n">
        <v>831.4</v>
      </c>
      <c r="F42" s="0" t="n">
        <v>839.9</v>
      </c>
      <c r="G42" s="0" t="n">
        <v>831.8</v>
      </c>
      <c r="H42" s="0" t="n">
        <v>834.4</v>
      </c>
      <c r="I42" s="0" t="n">
        <v>831.4</v>
      </c>
      <c r="J42" s="0" t="n">
        <v>835.3</v>
      </c>
      <c r="K42" s="0" t="n">
        <v>833.8</v>
      </c>
      <c r="L42" s="0" t="n">
        <v>832.9</v>
      </c>
      <c r="M42" s="0" t="n">
        <v>829.4</v>
      </c>
      <c r="N42" s="0" t="n">
        <v>831.6</v>
      </c>
      <c r="O42" s="0" t="n">
        <v>826.6</v>
      </c>
      <c r="P42" s="0" t="n">
        <v>833.1</v>
      </c>
      <c r="Q42" s="0" t="n">
        <v>833.3</v>
      </c>
      <c r="R42" s="0" t="n">
        <v>832.9</v>
      </c>
      <c r="S42" s="0" t="n">
        <v>830.1</v>
      </c>
      <c r="T42" s="0" t="n">
        <v>832</v>
      </c>
      <c r="U42" s="0" t="n">
        <v>830.6</v>
      </c>
      <c r="V42" s="0" t="n">
        <v>832.7</v>
      </c>
      <c r="W42" s="0" t="n">
        <v>828.4</v>
      </c>
      <c r="X42" s="6" t="n">
        <f aca="false">AVERAGE(D42:W42)</f>
        <v>832.26</v>
      </c>
      <c r="Y42" s="7" t="n">
        <f aca="false">_xlfn.STDEV.S(D42:W42)</f>
        <v>2.75191799143414</v>
      </c>
      <c r="Z42" s="7" t="n">
        <f aca="false">Y42/X42</f>
        <v>0.00330656043956713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778.8</v>
      </c>
      <c r="E43" s="0" t="n">
        <v>807.6</v>
      </c>
      <c r="F43" s="0" t="n">
        <v>794.1</v>
      </c>
      <c r="G43" s="0" t="n">
        <v>791.8</v>
      </c>
      <c r="H43" s="0" t="n">
        <v>788.4</v>
      </c>
      <c r="I43" s="0" t="n">
        <v>819.3</v>
      </c>
      <c r="J43" s="0" t="n">
        <v>791.6</v>
      </c>
      <c r="K43" s="0" t="n">
        <v>786.5</v>
      </c>
      <c r="L43" s="0" t="n">
        <v>785.4</v>
      </c>
      <c r="M43" s="0" t="n">
        <v>785.1</v>
      </c>
      <c r="N43" s="0" t="n">
        <v>806</v>
      </c>
      <c r="O43" s="0" t="n">
        <v>802.6</v>
      </c>
      <c r="P43" s="0" t="n">
        <v>794.2</v>
      </c>
      <c r="Q43" s="0" t="n">
        <v>806.6</v>
      </c>
      <c r="R43" s="0" t="n">
        <v>782.4</v>
      </c>
      <c r="S43" s="0" t="n">
        <v>787.6</v>
      </c>
      <c r="T43" s="0" t="n">
        <v>795.3</v>
      </c>
      <c r="U43" s="0" t="n">
        <v>797.2</v>
      </c>
      <c r="V43" s="0" t="n">
        <v>813.4</v>
      </c>
      <c r="W43" s="0" t="n">
        <v>787.1</v>
      </c>
      <c r="X43" s="6" t="n">
        <f aca="false">AVERAGE(D43:W43)</f>
        <v>795.05</v>
      </c>
      <c r="Y43" s="7" t="n">
        <f aca="false">_xlfn.STDEV.S(D43:W43)</f>
        <v>10.9390897340924</v>
      </c>
      <c r="Z43" s="7" t="n">
        <f aca="false">Y43/X43</f>
        <v>0.0137589959550876</v>
      </c>
    </row>
    <row r="44" customFormat="false" ht="16.75" hidden="false" customHeight="false" outlineLevel="0" collapsed="false">
      <c r="B44" s="4"/>
      <c r="C44" s="5" t="n">
        <v>63</v>
      </c>
      <c r="D44" s="0" t="n">
        <v>804.7</v>
      </c>
      <c r="E44" s="0" t="n">
        <v>802.2</v>
      </c>
      <c r="F44" s="0" t="n">
        <v>808.3</v>
      </c>
      <c r="G44" s="0" t="n">
        <v>801</v>
      </c>
      <c r="H44" s="0" t="n">
        <v>799.5</v>
      </c>
      <c r="I44" s="0" t="n">
        <v>791.3</v>
      </c>
      <c r="J44" s="0" t="n">
        <v>822.5</v>
      </c>
      <c r="K44" s="0" t="n">
        <v>794.3</v>
      </c>
      <c r="L44" s="0" t="n">
        <v>822.9</v>
      </c>
      <c r="M44" s="0" t="n">
        <v>798.1</v>
      </c>
      <c r="N44" s="0" t="n">
        <v>798.7</v>
      </c>
      <c r="O44" s="0" t="n">
        <v>810.9</v>
      </c>
      <c r="P44" s="0" t="n">
        <v>804.8</v>
      </c>
      <c r="Q44" s="0" t="n">
        <v>814.8</v>
      </c>
      <c r="R44" s="0" t="n">
        <v>798</v>
      </c>
      <c r="S44" s="0" t="n">
        <v>812</v>
      </c>
      <c r="T44" s="0" t="n">
        <v>779.1</v>
      </c>
      <c r="U44" s="0" t="n">
        <v>818.2</v>
      </c>
      <c r="V44" s="0" t="n">
        <v>793.9</v>
      </c>
      <c r="W44" s="0" t="n">
        <v>797.9</v>
      </c>
      <c r="X44" s="6" t="n">
        <f aca="false">AVERAGE(D44:W44)</f>
        <v>803.655</v>
      </c>
      <c r="Y44" s="7" t="n">
        <f aca="false">_xlfn.STDEV.S(D44:W44)</f>
        <v>10.9846531699075</v>
      </c>
      <c r="Z44" s="7" t="n">
        <f aca="false">Y44/X44</f>
        <v>0.0136683691010539</v>
      </c>
    </row>
    <row r="45" customFormat="false" ht="16.75" hidden="false" customHeight="false" outlineLevel="0" collapsed="false">
      <c r="B45" s="4"/>
      <c r="C45" s="5" t="n">
        <v>93</v>
      </c>
      <c r="D45" s="0" t="n">
        <v>804.6</v>
      </c>
      <c r="E45" s="0" t="n">
        <v>797.1</v>
      </c>
      <c r="F45" s="0" t="n">
        <v>818.3</v>
      </c>
      <c r="G45" s="0" t="n">
        <v>801.9</v>
      </c>
      <c r="H45" s="0" t="n">
        <v>793.4</v>
      </c>
      <c r="I45" s="0" t="n">
        <v>794.1</v>
      </c>
      <c r="J45" s="0" t="n">
        <v>795.6</v>
      </c>
      <c r="K45" s="0" t="n">
        <v>796.6</v>
      </c>
      <c r="L45" s="0" t="n">
        <v>784.9</v>
      </c>
      <c r="M45" s="0" t="n">
        <v>790.2</v>
      </c>
      <c r="N45" s="0" t="n">
        <v>780.9</v>
      </c>
      <c r="O45" s="0" t="n">
        <v>799.5</v>
      </c>
      <c r="P45" s="0" t="n">
        <v>796.9</v>
      </c>
      <c r="Q45" s="0" t="n">
        <v>810.7</v>
      </c>
      <c r="R45" s="0" t="n">
        <v>792.4</v>
      </c>
      <c r="S45" s="0" t="n">
        <v>800</v>
      </c>
      <c r="T45" s="0" t="n">
        <v>796.1</v>
      </c>
      <c r="U45" s="0" t="n">
        <v>793.7</v>
      </c>
      <c r="V45" s="0" t="n">
        <v>799.2</v>
      </c>
      <c r="W45" s="0" t="n">
        <v>794.1</v>
      </c>
      <c r="X45" s="6" t="n">
        <f aca="false">AVERAGE(D45:W45)</f>
        <v>797.01</v>
      </c>
      <c r="Y45" s="7" t="n">
        <f aca="false">_xlfn.STDEV.S(D45:W45)</f>
        <v>8.14305645449254</v>
      </c>
      <c r="Z45" s="7" t="n">
        <f aca="false">Y45/X45</f>
        <v>0.0102170066303968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637.6</v>
      </c>
      <c r="E46" s="0" t="n">
        <v>657.2</v>
      </c>
      <c r="F46" s="0" t="n">
        <v>651.3</v>
      </c>
      <c r="G46" s="0" t="n">
        <v>640.7</v>
      </c>
      <c r="H46" s="0" t="n">
        <v>633.1</v>
      </c>
      <c r="I46" s="0" t="n">
        <v>648.3</v>
      </c>
      <c r="J46" s="0" t="n">
        <v>660.3</v>
      </c>
      <c r="K46" s="0" t="n">
        <v>638.4</v>
      </c>
      <c r="L46" s="0" t="n">
        <v>648.5</v>
      </c>
      <c r="M46" s="0" t="n">
        <v>642.3</v>
      </c>
      <c r="N46" s="0" t="n">
        <v>647.7</v>
      </c>
      <c r="O46" s="0" t="n">
        <v>658.1</v>
      </c>
      <c r="P46" s="0" t="n">
        <v>652</v>
      </c>
      <c r="Q46" s="0" t="n">
        <v>664.3</v>
      </c>
      <c r="R46" s="0" t="n">
        <v>666</v>
      </c>
      <c r="S46" s="0" t="n">
        <v>635.4</v>
      </c>
      <c r="T46" s="0" t="n">
        <v>650.4</v>
      </c>
      <c r="U46" s="0" t="n">
        <v>644.2</v>
      </c>
      <c r="V46" s="0" t="n">
        <v>642</v>
      </c>
      <c r="W46" s="0" t="n">
        <v>664.9</v>
      </c>
      <c r="X46" s="6" t="n">
        <f aca="false">AVERAGE(D46:W46)</f>
        <v>649.135</v>
      </c>
      <c r="Y46" s="7" t="n">
        <f aca="false">_xlfn.STDEV.S(D46:W46)</f>
        <v>10.0991544721641</v>
      </c>
      <c r="Z46" s="7" t="n">
        <f aca="false">Y46/X46</f>
        <v>0.0155578646539842</v>
      </c>
    </row>
    <row r="47" customFormat="false" ht="16.75" hidden="false" customHeight="false" outlineLevel="0" collapsed="false">
      <c r="B47" s="4"/>
      <c r="C47" s="5" t="n">
        <v>38</v>
      </c>
      <c r="D47" s="0" t="n">
        <v>677.3</v>
      </c>
      <c r="E47" s="0" t="n">
        <v>662.3</v>
      </c>
      <c r="F47" s="0" t="n">
        <v>664.1</v>
      </c>
      <c r="G47" s="0" t="n">
        <v>669.9</v>
      </c>
      <c r="H47" s="0" t="n">
        <v>678.5</v>
      </c>
      <c r="I47" s="0" t="n">
        <v>680.7</v>
      </c>
      <c r="J47" s="0" t="n">
        <v>678.3</v>
      </c>
      <c r="K47" s="0" t="n">
        <v>670.3</v>
      </c>
      <c r="L47" s="0" t="n">
        <v>683.7</v>
      </c>
      <c r="M47" s="0" t="n">
        <v>672.9</v>
      </c>
      <c r="N47" s="0" t="n">
        <v>675.9</v>
      </c>
      <c r="O47" s="0" t="n">
        <v>674.6</v>
      </c>
      <c r="P47" s="0" t="n">
        <v>662.2</v>
      </c>
      <c r="Q47" s="0" t="n">
        <v>678.2</v>
      </c>
      <c r="R47" s="0" t="n">
        <v>672.8</v>
      </c>
      <c r="S47" s="0" t="n">
        <v>668.5</v>
      </c>
      <c r="T47" s="0" t="n">
        <v>675.3</v>
      </c>
      <c r="U47" s="0" t="n">
        <v>659.2</v>
      </c>
      <c r="V47" s="0" t="n">
        <v>689.1</v>
      </c>
      <c r="W47" s="0" t="n">
        <v>663.5</v>
      </c>
      <c r="X47" s="6" t="n">
        <f aca="false">AVERAGE(D47:W47)</f>
        <v>672.865</v>
      </c>
      <c r="Y47" s="7" t="n">
        <f aca="false">_xlfn.STDEV.S(D47:W47)</f>
        <v>7.88397942532497</v>
      </c>
      <c r="Z47" s="7" t="n">
        <f aca="false">Y47/X47</f>
        <v>0.0117170300510875</v>
      </c>
    </row>
    <row r="48" customFormat="false" ht="16.75" hidden="false" customHeight="false" outlineLevel="0" collapsed="false">
      <c r="B48" s="4"/>
      <c r="C48" s="5" t="n">
        <v>50</v>
      </c>
      <c r="D48" s="0" t="n">
        <v>689</v>
      </c>
      <c r="E48" s="0" t="n">
        <v>679.9</v>
      </c>
      <c r="F48" s="0" t="n">
        <v>681.9</v>
      </c>
      <c r="G48" s="0" t="n">
        <v>686.7</v>
      </c>
      <c r="H48" s="0" t="n">
        <v>692.6</v>
      </c>
      <c r="I48" s="0" t="n">
        <v>685.8</v>
      </c>
      <c r="J48" s="0" t="n">
        <v>682</v>
      </c>
      <c r="K48" s="0" t="n">
        <v>676.6</v>
      </c>
      <c r="L48" s="0" t="n">
        <v>687</v>
      </c>
      <c r="M48" s="0" t="n">
        <v>684.3</v>
      </c>
      <c r="N48" s="0" t="n">
        <v>698.7</v>
      </c>
      <c r="O48" s="0" t="n">
        <v>679.1</v>
      </c>
      <c r="P48" s="0" t="n">
        <v>677.8</v>
      </c>
      <c r="Q48" s="0" t="n">
        <v>682</v>
      </c>
      <c r="R48" s="0" t="n">
        <v>685</v>
      </c>
      <c r="S48" s="0" t="n">
        <v>691.1</v>
      </c>
      <c r="T48" s="0" t="n">
        <v>688</v>
      </c>
      <c r="U48" s="0" t="n">
        <v>699.8</v>
      </c>
      <c r="V48" s="0" t="n">
        <v>692.5</v>
      </c>
      <c r="W48" s="0" t="n">
        <v>693.3</v>
      </c>
      <c r="X48" s="6" t="n">
        <f aca="false">AVERAGE(D48:W48)</f>
        <v>686.655</v>
      </c>
      <c r="Y48" s="7" t="n">
        <f aca="false">_xlfn.STDEV.S(D48:W48)</f>
        <v>6.55306075533852</v>
      </c>
      <c r="Z48" s="7" t="n">
        <f aca="false">Y48/X48</f>
        <v>0.00954345450821523</v>
      </c>
    </row>
    <row r="49" customFormat="false" ht="16.75" hidden="false" customHeight="false" outlineLevel="0" collapsed="false">
      <c r="B49" s="4"/>
      <c r="C49" s="5" t="n">
        <v>75</v>
      </c>
      <c r="D49" s="0" t="n">
        <v>687.1</v>
      </c>
      <c r="E49" s="0" t="n">
        <v>687.5</v>
      </c>
      <c r="F49" s="0" t="n">
        <v>685.8</v>
      </c>
      <c r="G49" s="0" t="n">
        <v>667.4</v>
      </c>
      <c r="H49" s="0" t="n">
        <v>679.6</v>
      </c>
      <c r="I49" s="0" t="n">
        <v>716.6</v>
      </c>
      <c r="J49" s="0" t="n">
        <v>713.1</v>
      </c>
      <c r="K49" s="0" t="n">
        <v>719.9</v>
      </c>
      <c r="L49" s="0" t="n">
        <v>705.5</v>
      </c>
      <c r="M49" s="0" t="n">
        <v>693.9</v>
      </c>
      <c r="N49" s="0" t="n">
        <v>723.8</v>
      </c>
      <c r="O49" s="0" t="n">
        <v>715.4</v>
      </c>
      <c r="P49" s="0" t="n">
        <v>706.6</v>
      </c>
      <c r="Q49" s="0" t="n">
        <v>658.9</v>
      </c>
      <c r="R49" s="0" t="n">
        <v>688.4</v>
      </c>
      <c r="S49" s="0" t="n">
        <v>680.7</v>
      </c>
      <c r="T49" s="0" t="n">
        <v>675.4</v>
      </c>
      <c r="U49" s="0" t="n">
        <v>669.4</v>
      </c>
      <c r="V49" s="0" t="n">
        <v>677.8</v>
      </c>
      <c r="W49" s="0" t="n">
        <v>678</v>
      </c>
      <c r="X49" s="6" t="n">
        <f aca="false">AVERAGE(D49:W49)</f>
        <v>691.54</v>
      </c>
      <c r="Y49" s="7" t="n">
        <f aca="false">_xlfn.STDEV.S(D49:W49)</f>
        <v>19.2548121121367</v>
      </c>
      <c r="Z49" s="7" t="n">
        <f aca="false">Y49/X49</f>
        <v>0.0278433816006835</v>
      </c>
    </row>
    <row r="50" customFormat="false" ht="16.75" hidden="false" customHeight="false" outlineLevel="0" collapsed="false">
      <c r="B50" s="4"/>
      <c r="C50" s="5" t="n">
        <v>100</v>
      </c>
      <c r="D50" s="0" t="n">
        <v>684.1</v>
      </c>
      <c r="E50" s="0" t="n">
        <v>667.5</v>
      </c>
      <c r="F50" s="0" t="n">
        <v>672.8</v>
      </c>
      <c r="G50" s="0" t="n">
        <v>664.4</v>
      </c>
      <c r="H50" s="0" t="n">
        <v>657.9</v>
      </c>
      <c r="I50" s="0" t="n">
        <v>679.4</v>
      </c>
      <c r="J50" s="0" t="n">
        <v>681.4</v>
      </c>
      <c r="K50" s="0" t="n">
        <v>668.5</v>
      </c>
      <c r="L50" s="0" t="n">
        <v>688.1</v>
      </c>
      <c r="M50" s="0" t="n">
        <v>685.5</v>
      </c>
      <c r="N50" s="0" t="n">
        <v>663.2</v>
      </c>
      <c r="O50" s="0" t="n">
        <v>686.2</v>
      </c>
      <c r="P50" s="0" t="n">
        <v>663.9</v>
      </c>
      <c r="Q50" s="0" t="n">
        <v>663.5</v>
      </c>
      <c r="R50" s="0" t="n">
        <v>682.2</v>
      </c>
      <c r="S50" s="0" t="n">
        <v>662.7</v>
      </c>
      <c r="T50" s="0" t="n">
        <v>671.2</v>
      </c>
      <c r="U50" s="0" t="n">
        <v>670.1</v>
      </c>
      <c r="V50" s="0" t="n">
        <v>660.3</v>
      </c>
      <c r="W50" s="0" t="n">
        <v>675.7</v>
      </c>
      <c r="X50" s="6" t="n">
        <f aca="false">AVERAGE(D50:W50)</f>
        <v>672.43</v>
      </c>
      <c r="Y50" s="7" t="n">
        <f aca="false">_xlfn.STDEV.S(D50:W50)</f>
        <v>9.67716248102773</v>
      </c>
      <c r="Z50" s="7" t="n">
        <f aca="false">Y50/X50</f>
        <v>0.0143913306679174</v>
      </c>
    </row>
    <row r="51" customFormat="false" ht="16.75" hidden="false" customHeight="false" outlineLevel="0" collapsed="false">
      <c r="B51" s="4"/>
      <c r="C51" s="5" t="n">
        <v>150</v>
      </c>
      <c r="D51" s="0" t="n">
        <v>711.7</v>
      </c>
      <c r="E51" s="0" t="n">
        <v>703.9</v>
      </c>
      <c r="F51" s="0" t="n">
        <v>703.3</v>
      </c>
      <c r="G51" s="0" t="n">
        <v>693</v>
      </c>
      <c r="H51" s="0" t="n">
        <v>724.8</v>
      </c>
      <c r="I51" s="0" t="n">
        <v>714.1</v>
      </c>
      <c r="J51" s="0" t="n">
        <v>706.6</v>
      </c>
      <c r="K51" s="0" t="n">
        <v>703</v>
      </c>
      <c r="L51" s="0" t="n">
        <v>736.7</v>
      </c>
      <c r="M51" s="0" t="n">
        <v>717.3</v>
      </c>
      <c r="N51" s="0" t="n">
        <v>712.6</v>
      </c>
      <c r="O51" s="0" t="n">
        <v>732.2</v>
      </c>
      <c r="P51" s="0" t="n">
        <v>700.5</v>
      </c>
      <c r="Q51" s="0" t="n">
        <v>720.2</v>
      </c>
      <c r="R51" s="0" t="n">
        <v>725.3</v>
      </c>
      <c r="S51" s="0" t="n">
        <v>717</v>
      </c>
      <c r="T51" s="0" t="n">
        <v>717.1</v>
      </c>
      <c r="U51" s="0" t="n">
        <v>712.1</v>
      </c>
      <c r="V51" s="0" t="n">
        <v>702.1</v>
      </c>
      <c r="W51" s="0" t="n">
        <v>713</v>
      </c>
      <c r="X51" s="6" t="n">
        <f aca="false">AVERAGE(D51:W51)</f>
        <v>713.325</v>
      </c>
      <c r="Y51" s="7" t="n">
        <f aca="false">_xlfn.STDEV.S(D51:W51)</f>
        <v>11.0469750563101</v>
      </c>
      <c r="Z51" s="7" t="n">
        <f aca="false">Y51/X51</f>
        <v>0.0154865945485018</v>
      </c>
    </row>
    <row r="52" customFormat="false" ht="15" hidden="false" customHeight="true" outlineLevel="0" collapsed="false">
      <c r="A52" s="1" t="s">
        <v>0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822.5</v>
      </c>
      <c r="E57" s="0" t="n">
        <v>823.5</v>
      </c>
      <c r="F57" s="0" t="n">
        <v>820.3</v>
      </c>
      <c r="G57" s="0" t="n">
        <v>822.8</v>
      </c>
      <c r="H57" s="0" t="n">
        <v>820.9</v>
      </c>
      <c r="I57" s="0" t="n">
        <v>822.7</v>
      </c>
      <c r="J57" s="0" t="n">
        <v>823.2</v>
      </c>
      <c r="K57" s="0" t="n">
        <v>826.1</v>
      </c>
      <c r="L57" s="0" t="n">
        <v>825.1</v>
      </c>
      <c r="M57" s="0" t="n">
        <v>823.3</v>
      </c>
      <c r="N57" s="0" t="n">
        <v>824.7</v>
      </c>
      <c r="O57" s="0" t="n">
        <v>822.1</v>
      </c>
      <c r="P57" s="0" t="n">
        <v>824.5</v>
      </c>
      <c r="Q57" s="0" t="n">
        <v>830.3</v>
      </c>
      <c r="R57" s="0" t="n">
        <v>824.2</v>
      </c>
      <c r="S57" s="0" t="n">
        <v>823.2</v>
      </c>
      <c r="T57" s="0" t="n">
        <v>820.5</v>
      </c>
      <c r="U57" s="0" t="n">
        <v>823.5</v>
      </c>
      <c r="V57" s="0" t="n">
        <v>823.7</v>
      </c>
      <c r="W57" s="0" t="n">
        <v>824.9</v>
      </c>
      <c r="X57" s="6" t="n">
        <f aca="false">AVERAGE(D57:W57)</f>
        <v>823.6</v>
      </c>
      <c r="Y57" s="7" t="n">
        <f aca="false">_xlfn.STDEV.S(D57:W57)</f>
        <v>2.18367146169738</v>
      </c>
      <c r="Z57" s="7" t="n">
        <f aca="false">Y57/X57</f>
        <v>0.0026513738000211</v>
      </c>
    </row>
    <row r="58" customFormat="false" ht="16.75" hidden="false" customHeight="false" outlineLevel="0" collapsed="false">
      <c r="B58" s="4"/>
      <c r="C58" s="5" t="n">
        <v>25</v>
      </c>
      <c r="D58" s="0" t="n">
        <v>824.7</v>
      </c>
      <c r="E58" s="0" t="n">
        <v>826.1</v>
      </c>
      <c r="F58" s="0" t="n">
        <v>824.6</v>
      </c>
      <c r="G58" s="0" t="n">
        <v>824.3</v>
      </c>
      <c r="H58" s="0" t="n">
        <v>823.7</v>
      </c>
      <c r="I58" s="0" t="n">
        <v>823.7</v>
      </c>
      <c r="J58" s="0" t="n">
        <v>823</v>
      </c>
      <c r="K58" s="0" t="n">
        <v>825.7</v>
      </c>
      <c r="L58" s="0" t="n">
        <v>822.9</v>
      </c>
      <c r="M58" s="0" t="n">
        <v>825.9</v>
      </c>
      <c r="N58" s="0" t="n">
        <v>823.9</v>
      </c>
      <c r="O58" s="0" t="n">
        <v>824.4</v>
      </c>
      <c r="P58" s="0" t="n">
        <v>825.3</v>
      </c>
      <c r="Q58" s="0" t="n">
        <v>826.9</v>
      </c>
      <c r="R58" s="0" t="n">
        <v>829.6</v>
      </c>
      <c r="S58" s="0" t="n">
        <v>824.5</v>
      </c>
      <c r="T58" s="0" t="n">
        <v>822.7</v>
      </c>
      <c r="U58" s="0" t="n">
        <v>824.2</v>
      </c>
      <c r="V58" s="0" t="n">
        <v>819.9</v>
      </c>
      <c r="W58" s="0" t="n">
        <v>824.4</v>
      </c>
      <c r="X58" s="6" t="n">
        <f aca="false">AVERAGE(D58:W58)</f>
        <v>824.52</v>
      </c>
      <c r="Y58" s="7" t="n">
        <f aca="false">_xlfn.STDEV.S(D58:W58)</f>
        <v>1.91135113411815</v>
      </c>
      <c r="Z58" s="7" t="n">
        <f aca="false">Y58/X58</f>
        <v>0.00231813798830611</v>
      </c>
    </row>
    <row r="59" customFormat="false" ht="16.75" hidden="false" customHeight="false" outlineLevel="0" collapsed="false">
      <c r="B59" s="4"/>
      <c r="C59" s="5" t="n">
        <v>38</v>
      </c>
      <c r="D59" s="0" t="n">
        <v>826.5</v>
      </c>
      <c r="E59" s="0" t="n">
        <v>826.2</v>
      </c>
      <c r="F59" s="0" t="n">
        <v>823.5</v>
      </c>
      <c r="G59" s="0" t="n">
        <v>831.1</v>
      </c>
      <c r="H59" s="0" t="n">
        <v>824.4</v>
      </c>
      <c r="I59" s="0" t="n">
        <v>824.5</v>
      </c>
      <c r="J59" s="0" t="n">
        <v>824.7</v>
      </c>
      <c r="K59" s="0" t="n">
        <v>831.5</v>
      </c>
      <c r="L59" s="0" t="n">
        <v>826.8</v>
      </c>
      <c r="M59" s="0" t="n">
        <v>823.2</v>
      </c>
      <c r="N59" s="0" t="n">
        <v>825.5</v>
      </c>
      <c r="O59" s="0" t="n">
        <v>822.6</v>
      </c>
      <c r="P59" s="0" t="n">
        <v>825.2</v>
      </c>
      <c r="Q59" s="0" t="n">
        <v>824.9</v>
      </c>
      <c r="R59" s="0" t="n">
        <v>827.7</v>
      </c>
      <c r="S59" s="0" t="n">
        <v>825.7</v>
      </c>
      <c r="T59" s="0" t="n">
        <v>827.3</v>
      </c>
      <c r="U59" s="0" t="n">
        <v>830.1</v>
      </c>
      <c r="V59" s="0" t="n">
        <v>824</v>
      </c>
      <c r="W59" s="0" t="n">
        <v>826.6</v>
      </c>
      <c r="X59" s="6" t="n">
        <f aca="false">AVERAGE(D59:W59)</f>
        <v>826.1</v>
      </c>
      <c r="Y59" s="7" t="n">
        <f aca="false">_xlfn.STDEV.S(D59:W59)</f>
        <v>2.48235881031689</v>
      </c>
      <c r="Z59" s="7" t="n">
        <f aca="false">Y59/X59</f>
        <v>0.00300491321912225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788.6</v>
      </c>
      <c r="E60" s="0" t="n">
        <v>791.1</v>
      </c>
      <c r="F60" s="0" t="n">
        <v>792.7</v>
      </c>
      <c r="G60" s="0" t="n">
        <v>782.2</v>
      </c>
      <c r="H60" s="0" t="n">
        <v>806.2</v>
      </c>
      <c r="I60" s="0" t="n">
        <v>776</v>
      </c>
      <c r="J60" s="0" t="n">
        <v>765.3</v>
      </c>
      <c r="K60" s="0" t="n">
        <v>772.3</v>
      </c>
      <c r="L60" s="0" t="n">
        <v>774.2</v>
      </c>
      <c r="M60" s="0" t="n">
        <v>773</v>
      </c>
      <c r="N60" s="0" t="n">
        <v>766.6</v>
      </c>
      <c r="O60" s="0" t="n">
        <v>782.1</v>
      </c>
      <c r="P60" s="0" t="n">
        <v>774.1</v>
      </c>
      <c r="Q60" s="0" t="n">
        <v>776.9</v>
      </c>
      <c r="R60" s="0" t="n">
        <v>774.9</v>
      </c>
      <c r="S60" s="0" t="n">
        <v>764.1</v>
      </c>
      <c r="T60" s="0" t="n">
        <v>774</v>
      </c>
      <c r="U60" s="0" t="n">
        <v>772.6</v>
      </c>
      <c r="V60" s="0" t="n">
        <v>790</v>
      </c>
      <c r="W60" s="0" t="n">
        <v>760.3</v>
      </c>
      <c r="X60" s="6" t="n">
        <f aca="false">AVERAGE(D60:W60)</f>
        <v>777.86</v>
      </c>
      <c r="Y60" s="7" t="n">
        <f aca="false">_xlfn.STDEV.S(D60:W60)</f>
        <v>11.2816292216478</v>
      </c>
      <c r="Z60" s="7" t="n">
        <f aca="false">Y60/X60</f>
        <v>0.0145034186378626</v>
      </c>
    </row>
    <row r="61" customFormat="false" ht="16.75" hidden="false" customHeight="false" outlineLevel="0" collapsed="false">
      <c r="B61" s="4"/>
      <c r="C61" s="5" t="n">
        <v>63</v>
      </c>
      <c r="D61" s="0" t="n">
        <v>798.7</v>
      </c>
      <c r="E61" s="0" t="n">
        <v>791.6</v>
      </c>
      <c r="F61" s="0" t="n">
        <v>797</v>
      </c>
      <c r="G61" s="0" t="n">
        <v>796.5</v>
      </c>
      <c r="H61" s="0" t="n">
        <v>786.2</v>
      </c>
      <c r="I61" s="0" t="n">
        <v>774</v>
      </c>
      <c r="J61" s="0" t="n">
        <v>779.8</v>
      </c>
      <c r="K61" s="0" t="n">
        <v>799.6</v>
      </c>
      <c r="L61" s="0" t="n">
        <v>766.1</v>
      </c>
      <c r="M61" s="0" t="n">
        <v>790.9</v>
      </c>
      <c r="N61" s="0" t="n">
        <v>784.6</v>
      </c>
      <c r="O61" s="0" t="n">
        <v>810.4</v>
      </c>
      <c r="P61" s="0" t="n">
        <v>778.6</v>
      </c>
      <c r="Q61" s="0" t="n">
        <v>799.7</v>
      </c>
      <c r="R61" s="0" t="n">
        <v>774.6</v>
      </c>
      <c r="S61" s="0" t="n">
        <v>781.5</v>
      </c>
      <c r="T61" s="0" t="n">
        <v>803.4</v>
      </c>
      <c r="U61" s="0" t="n">
        <v>782.5</v>
      </c>
      <c r="V61" s="0" t="n">
        <v>777.2</v>
      </c>
      <c r="W61" s="0" t="n">
        <v>785.3</v>
      </c>
      <c r="X61" s="6" t="n">
        <f aca="false">AVERAGE(D61:W61)</f>
        <v>787.91</v>
      </c>
      <c r="Y61" s="7" t="n">
        <f aca="false">_xlfn.STDEV.S(D61:W61)</f>
        <v>11.5195897222263</v>
      </c>
      <c r="Z61" s="7" t="n">
        <f aca="false">Y61/X61</f>
        <v>0.0146204385300685</v>
      </c>
    </row>
    <row r="62" customFormat="false" ht="16.75" hidden="false" customHeight="false" outlineLevel="0" collapsed="false">
      <c r="B62" s="4"/>
      <c r="C62" s="5" t="n">
        <v>93</v>
      </c>
      <c r="D62" s="0" t="n">
        <v>772</v>
      </c>
      <c r="E62" s="0" t="n">
        <v>780.5</v>
      </c>
      <c r="F62" s="0" t="n">
        <v>785.5</v>
      </c>
      <c r="G62" s="0" t="n">
        <v>785.9</v>
      </c>
      <c r="H62" s="0" t="n">
        <v>773.8</v>
      </c>
      <c r="I62" s="0" t="n">
        <v>781.2</v>
      </c>
      <c r="J62" s="0" t="n">
        <v>773.3</v>
      </c>
      <c r="K62" s="0" t="n">
        <v>775.7</v>
      </c>
      <c r="L62" s="0" t="n">
        <v>777.8</v>
      </c>
      <c r="M62" s="0" t="n">
        <v>781.2</v>
      </c>
      <c r="N62" s="0" t="n">
        <v>800.4</v>
      </c>
      <c r="O62" s="0" t="n">
        <v>769.3</v>
      </c>
      <c r="P62" s="0" t="n">
        <v>776.8</v>
      </c>
      <c r="Q62" s="0" t="n">
        <v>779.9</v>
      </c>
      <c r="R62" s="0" t="n">
        <v>806.7</v>
      </c>
      <c r="S62" s="0" t="n">
        <v>776.4</v>
      </c>
      <c r="T62" s="0" t="n">
        <v>788.2</v>
      </c>
      <c r="U62" s="0" t="n">
        <v>779.5</v>
      </c>
      <c r="V62" s="0" t="n">
        <v>774.1</v>
      </c>
      <c r="W62" s="0" t="n">
        <v>799.7</v>
      </c>
      <c r="X62" s="6" t="n">
        <f aca="false">AVERAGE(D62:W62)</f>
        <v>781.895</v>
      </c>
      <c r="Y62" s="7" t="n">
        <f aca="false">_xlfn.STDEV.S(D62:W62)</f>
        <v>10.0634029506608</v>
      </c>
      <c r="Z62" s="7" t="n">
        <f aca="false">Y62/X62</f>
        <v>0.0128705298673873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650.2</v>
      </c>
      <c r="E63" s="0" t="n">
        <v>651.4</v>
      </c>
      <c r="F63" s="0" t="n">
        <v>660.9</v>
      </c>
      <c r="G63" s="0" t="n">
        <v>659</v>
      </c>
      <c r="H63" s="0" t="n">
        <v>656.6</v>
      </c>
      <c r="I63" s="0" t="n">
        <v>660.2</v>
      </c>
      <c r="J63" s="0" t="n">
        <v>653.2</v>
      </c>
      <c r="K63" s="0" t="n">
        <v>674.7</v>
      </c>
      <c r="L63" s="0" t="n">
        <v>657.5</v>
      </c>
      <c r="M63" s="0" t="n">
        <v>651.3</v>
      </c>
      <c r="N63" s="0" t="n">
        <v>661.9</v>
      </c>
      <c r="O63" s="0" t="n">
        <v>660.8</v>
      </c>
      <c r="P63" s="0" t="n">
        <v>664.7</v>
      </c>
      <c r="Q63" s="0" t="n">
        <v>677.9</v>
      </c>
      <c r="R63" s="0" t="n">
        <v>645.9</v>
      </c>
      <c r="S63" s="0" t="n">
        <v>675.1</v>
      </c>
      <c r="T63" s="0" t="n">
        <v>651.9</v>
      </c>
      <c r="U63" s="0" t="n">
        <v>659.1</v>
      </c>
      <c r="V63" s="0" t="n">
        <v>655.6</v>
      </c>
      <c r="W63" s="0" t="n">
        <v>659.7</v>
      </c>
      <c r="X63" s="6" t="n">
        <f aca="false">AVERAGE(D63:W63)</f>
        <v>659.38</v>
      </c>
      <c r="Y63" s="7" t="n">
        <f aca="false">_xlfn.STDEV.S(D63:W63)</f>
        <v>8.52066219319405</v>
      </c>
      <c r="Z63" s="7" t="n">
        <f aca="false">Y63/X63</f>
        <v>0.0129222332997574</v>
      </c>
    </row>
    <row r="64" customFormat="false" ht="16.75" hidden="false" customHeight="false" outlineLevel="0" collapsed="false">
      <c r="B64" s="4"/>
      <c r="C64" s="5" t="n">
        <v>38</v>
      </c>
      <c r="D64" s="0" t="n">
        <v>673.9</v>
      </c>
      <c r="E64" s="0" t="n">
        <v>699.2</v>
      </c>
      <c r="F64" s="0" t="n">
        <v>680.8</v>
      </c>
      <c r="G64" s="0" t="n">
        <v>692.3</v>
      </c>
      <c r="H64" s="0" t="n">
        <v>669.3</v>
      </c>
      <c r="I64" s="0" t="n">
        <v>689.3</v>
      </c>
      <c r="J64" s="0" t="n">
        <v>680.9</v>
      </c>
      <c r="K64" s="0" t="n">
        <v>678.2</v>
      </c>
      <c r="L64" s="0" t="n">
        <v>692.4</v>
      </c>
      <c r="M64" s="0" t="n">
        <v>673.2</v>
      </c>
      <c r="N64" s="0" t="n">
        <v>674.6</v>
      </c>
      <c r="O64" s="0" t="n">
        <v>695.6</v>
      </c>
      <c r="P64" s="0" t="n">
        <v>682.5</v>
      </c>
      <c r="Q64" s="0" t="n">
        <v>674.1</v>
      </c>
      <c r="R64" s="0" t="n">
        <v>683.2</v>
      </c>
      <c r="S64" s="0" t="n">
        <v>677.9</v>
      </c>
      <c r="T64" s="0" t="n">
        <v>680.7</v>
      </c>
      <c r="U64" s="0" t="n">
        <v>680.6</v>
      </c>
      <c r="V64" s="0" t="n">
        <v>681.6</v>
      </c>
      <c r="W64" s="0" t="n">
        <v>689.7</v>
      </c>
      <c r="X64" s="6" t="n">
        <f aca="false">AVERAGE(D64:W64)</f>
        <v>682.5</v>
      </c>
      <c r="Y64" s="7" t="n">
        <f aca="false">_xlfn.STDEV.S(D64:W64)</f>
        <v>8.15488229609465</v>
      </c>
      <c r="Z64" s="7" t="n">
        <f aca="false">Y64/X64</f>
        <v>0.0119485454887834</v>
      </c>
    </row>
    <row r="65" customFormat="false" ht="16.75" hidden="false" customHeight="false" outlineLevel="0" collapsed="false">
      <c r="B65" s="4"/>
      <c r="C65" s="5" t="n">
        <v>50</v>
      </c>
      <c r="D65" s="0" t="n">
        <v>693.3</v>
      </c>
      <c r="E65" s="0" t="n">
        <v>674.7</v>
      </c>
      <c r="F65" s="0" t="n">
        <v>681.8</v>
      </c>
      <c r="G65" s="0" t="n">
        <v>696.3</v>
      </c>
      <c r="H65" s="0" t="n">
        <v>674.4</v>
      </c>
      <c r="I65" s="0" t="n">
        <v>674</v>
      </c>
      <c r="J65" s="0" t="n">
        <v>689.1</v>
      </c>
      <c r="K65" s="0" t="n">
        <v>683.8</v>
      </c>
      <c r="L65" s="0" t="n">
        <v>673.2</v>
      </c>
      <c r="M65" s="0" t="n">
        <v>687.4</v>
      </c>
      <c r="N65" s="0" t="n">
        <v>674.7</v>
      </c>
      <c r="O65" s="0" t="n">
        <v>675.7</v>
      </c>
      <c r="P65" s="0" t="n">
        <v>677.4</v>
      </c>
      <c r="Q65" s="0" t="n">
        <v>682.2</v>
      </c>
      <c r="R65" s="0" t="n">
        <v>681.2</v>
      </c>
      <c r="S65" s="0" t="n">
        <v>692.1</v>
      </c>
      <c r="T65" s="0" t="n">
        <v>684.5</v>
      </c>
      <c r="U65" s="0" t="n">
        <v>684.6</v>
      </c>
      <c r="V65" s="0" t="n">
        <v>686.2</v>
      </c>
      <c r="W65" s="0" t="n">
        <v>679.3</v>
      </c>
      <c r="X65" s="6" t="n">
        <f aca="false">AVERAGE(D65:W65)</f>
        <v>682.295</v>
      </c>
      <c r="Y65" s="7" t="n">
        <f aca="false">_xlfn.STDEV.S(D65:W65)</f>
        <v>6.96060153177944</v>
      </c>
      <c r="Z65" s="7" t="n">
        <f aca="false">Y65/X65</f>
        <v>0.0102017478242981</v>
      </c>
    </row>
    <row r="66" customFormat="false" ht="16.75" hidden="false" customHeight="false" outlineLevel="0" collapsed="false">
      <c r="B66" s="4"/>
      <c r="C66" s="5" t="n">
        <v>75</v>
      </c>
      <c r="D66" s="0" t="n">
        <v>662</v>
      </c>
      <c r="E66" s="0" t="n">
        <v>662.9</v>
      </c>
      <c r="F66" s="0" t="n">
        <v>650.3</v>
      </c>
      <c r="G66" s="0" t="n">
        <v>654.6</v>
      </c>
      <c r="H66" s="0" t="n">
        <v>652.7</v>
      </c>
      <c r="I66" s="0" t="n">
        <v>658.4</v>
      </c>
      <c r="J66" s="0" t="n">
        <v>658.4</v>
      </c>
      <c r="K66" s="0" t="n">
        <v>659.7</v>
      </c>
      <c r="L66" s="0" t="n">
        <v>658.2</v>
      </c>
      <c r="M66" s="0" t="n">
        <v>643.4</v>
      </c>
      <c r="N66" s="0" t="n">
        <v>654.1</v>
      </c>
      <c r="O66" s="0" t="n">
        <v>663.9</v>
      </c>
      <c r="P66" s="0" t="n">
        <v>654.5</v>
      </c>
      <c r="Q66" s="0" t="n">
        <v>664</v>
      </c>
      <c r="R66" s="0" t="n">
        <v>653.9</v>
      </c>
      <c r="S66" s="0" t="n">
        <v>669.2</v>
      </c>
      <c r="T66" s="0" t="n">
        <v>673.9</v>
      </c>
      <c r="U66" s="0" t="n">
        <v>656.1</v>
      </c>
      <c r="V66" s="0" t="n">
        <v>658</v>
      </c>
      <c r="W66" s="0" t="n">
        <v>658.1</v>
      </c>
      <c r="X66" s="6" t="n">
        <f aca="false">AVERAGE(D66:W66)</f>
        <v>658.315</v>
      </c>
      <c r="Y66" s="7" t="n">
        <f aca="false">_xlfn.STDEV.S(D66:W66)</f>
        <v>6.6898410806394</v>
      </c>
      <c r="Z66" s="7" t="n">
        <f aca="false">Y66/X66</f>
        <v>0.0101620669142271</v>
      </c>
    </row>
    <row r="67" customFormat="false" ht="16.75" hidden="false" customHeight="false" outlineLevel="0" collapsed="false">
      <c r="B67" s="4"/>
      <c r="C67" s="5" t="n">
        <v>100</v>
      </c>
      <c r="D67" s="0" t="n">
        <v>642.8</v>
      </c>
      <c r="E67" s="0" t="n">
        <v>649.6</v>
      </c>
      <c r="F67" s="0" t="n">
        <v>663.5</v>
      </c>
      <c r="G67" s="0" t="n">
        <v>635.6</v>
      </c>
      <c r="H67" s="0" t="n">
        <v>648.8</v>
      </c>
      <c r="I67" s="0" t="n">
        <v>627.7</v>
      </c>
      <c r="J67" s="0" t="n">
        <v>653.3</v>
      </c>
      <c r="K67" s="0" t="n">
        <v>669.3</v>
      </c>
      <c r="L67" s="0" t="n">
        <v>644.7</v>
      </c>
      <c r="M67" s="0" t="n">
        <v>648.4</v>
      </c>
      <c r="N67" s="0" t="n">
        <v>640.8</v>
      </c>
      <c r="O67" s="0" t="n">
        <v>669.6</v>
      </c>
      <c r="P67" s="0" t="n">
        <v>664.8</v>
      </c>
      <c r="Q67" s="0" t="n">
        <v>654.3</v>
      </c>
      <c r="R67" s="0" t="n">
        <v>633.5</v>
      </c>
      <c r="S67" s="0" t="n">
        <v>641.6</v>
      </c>
      <c r="T67" s="0" t="n">
        <v>648</v>
      </c>
      <c r="U67" s="0" t="n">
        <v>649.6</v>
      </c>
      <c r="V67" s="0" t="n">
        <v>655.2</v>
      </c>
      <c r="W67" s="0" t="n">
        <v>654</v>
      </c>
      <c r="X67" s="6" t="n">
        <f aca="false">AVERAGE(D67:W67)</f>
        <v>649.755</v>
      </c>
      <c r="Y67" s="7" t="n">
        <f aca="false">_xlfn.STDEV.S(D67:W67)</f>
        <v>11.3543627135819</v>
      </c>
      <c r="Z67" s="7" t="n">
        <f aca="false">Y67/X67</f>
        <v>0.0174748369979175</v>
      </c>
    </row>
    <row r="68" customFormat="false" ht="16.75" hidden="false" customHeight="false" outlineLevel="0" collapsed="false">
      <c r="B68" s="4"/>
      <c r="C68" s="5" t="n">
        <v>150</v>
      </c>
      <c r="D68" s="0" t="n">
        <v>679.4</v>
      </c>
      <c r="E68" s="0" t="n">
        <v>666.5</v>
      </c>
      <c r="F68" s="0" t="n">
        <v>686.4</v>
      </c>
      <c r="G68" s="0" t="n">
        <v>694.9</v>
      </c>
      <c r="H68" s="0" t="n">
        <v>668.8</v>
      </c>
      <c r="I68" s="0" t="n">
        <v>684.7</v>
      </c>
      <c r="J68" s="0" t="n">
        <v>666</v>
      </c>
      <c r="K68" s="0" t="n">
        <v>685.5</v>
      </c>
      <c r="L68" s="0" t="n">
        <v>692.6</v>
      </c>
      <c r="M68" s="0" t="n">
        <v>675.7</v>
      </c>
      <c r="N68" s="0" t="n">
        <v>667.6</v>
      </c>
      <c r="O68" s="0" t="n">
        <v>699.6</v>
      </c>
      <c r="P68" s="0" t="n">
        <v>663</v>
      </c>
      <c r="Q68" s="0" t="n">
        <v>700.1</v>
      </c>
      <c r="R68" s="0" t="n">
        <v>676.4</v>
      </c>
      <c r="S68" s="0" t="n">
        <v>687.5</v>
      </c>
      <c r="T68" s="0" t="n">
        <v>683</v>
      </c>
      <c r="U68" s="0" t="n">
        <v>685.9</v>
      </c>
      <c r="V68" s="0" t="n">
        <v>676.4</v>
      </c>
      <c r="W68" s="0" t="n">
        <v>675.9</v>
      </c>
      <c r="X68" s="6" t="n">
        <f aca="false">AVERAGE(D68:W68)</f>
        <v>680.795</v>
      </c>
      <c r="Y68" s="7" t="n">
        <f aca="false">_xlfn.STDEV.S(D68:W68)</f>
        <v>11.1395206832535</v>
      </c>
      <c r="Z68" s="7" t="n">
        <f aca="false">Y68/X68</f>
        <v>0.0163625183546493</v>
      </c>
    </row>
    <row r="69" customFormat="false" ht="15" hidden="false" customHeight="true" outlineLevel="0" collapsed="false">
      <c r="A69" s="1" t="s">
        <v>0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826.8</v>
      </c>
      <c r="E74" s="0" t="n">
        <v>827</v>
      </c>
      <c r="F74" s="0" t="n">
        <v>826.5</v>
      </c>
      <c r="G74" s="0" t="n">
        <v>824.1</v>
      </c>
      <c r="H74" s="0" t="n">
        <v>826.7</v>
      </c>
      <c r="I74" s="0" t="n">
        <v>823.3</v>
      </c>
      <c r="J74" s="0" t="n">
        <v>824.1</v>
      </c>
      <c r="K74" s="0" t="n">
        <v>827.1</v>
      </c>
      <c r="L74" s="0" t="n">
        <v>822.4</v>
      </c>
      <c r="M74" s="0" t="n">
        <v>829</v>
      </c>
      <c r="N74" s="0" t="n">
        <v>824.7</v>
      </c>
      <c r="O74" s="0" t="n">
        <v>830</v>
      </c>
      <c r="P74" s="0" t="n">
        <v>825.6</v>
      </c>
      <c r="Q74" s="0" t="n">
        <v>824.5</v>
      </c>
      <c r="R74" s="0" t="n">
        <v>823.8</v>
      </c>
      <c r="S74" s="0" t="n">
        <v>820.8</v>
      </c>
      <c r="T74" s="0" t="n">
        <v>826.9</v>
      </c>
      <c r="U74" s="0" t="n">
        <v>828.4</v>
      </c>
      <c r="V74" s="0" t="n">
        <v>830.2</v>
      </c>
      <c r="W74" s="0" t="n">
        <v>824.7</v>
      </c>
      <c r="X74" s="6" t="n">
        <f aca="false">AVERAGE(D74:W74)</f>
        <v>825.83</v>
      </c>
      <c r="Y74" s="7" t="n">
        <f aca="false">_xlfn.STDEV.S(D74:W74)</f>
        <v>2.48534652884082</v>
      </c>
      <c r="Z74" s="7" t="n">
        <f aca="false">Y74/X74</f>
        <v>0.00300951349410995</v>
      </c>
    </row>
    <row r="75" customFormat="false" ht="16.75" hidden="false" customHeight="false" outlineLevel="0" collapsed="false">
      <c r="B75" s="4"/>
      <c r="C75" s="5" t="n">
        <v>25</v>
      </c>
      <c r="D75" s="0" t="n">
        <v>829.7</v>
      </c>
      <c r="E75" s="0" t="n">
        <v>827.7</v>
      </c>
      <c r="F75" s="0" t="n">
        <v>827.2</v>
      </c>
      <c r="G75" s="0" t="n">
        <v>826.9</v>
      </c>
      <c r="H75" s="0" t="n">
        <v>827.4</v>
      </c>
      <c r="I75" s="0" t="n">
        <v>825.4</v>
      </c>
      <c r="J75" s="0" t="n">
        <v>825.8</v>
      </c>
      <c r="K75" s="0" t="n">
        <v>830</v>
      </c>
      <c r="L75" s="0" t="n">
        <v>826.1</v>
      </c>
      <c r="M75" s="0" t="n">
        <v>826.4</v>
      </c>
      <c r="N75" s="0" t="n">
        <v>819.6</v>
      </c>
      <c r="O75" s="0" t="n">
        <v>826.8</v>
      </c>
      <c r="P75" s="0" t="n">
        <v>827.3</v>
      </c>
      <c r="Q75" s="0" t="n">
        <v>826.8</v>
      </c>
      <c r="R75" s="0" t="n">
        <v>822.5</v>
      </c>
      <c r="S75" s="0" t="n">
        <v>820.7</v>
      </c>
      <c r="T75" s="0" t="n">
        <v>823.7</v>
      </c>
      <c r="U75" s="0" t="n">
        <v>822.4</v>
      </c>
      <c r="V75" s="0" t="n">
        <v>826.5</v>
      </c>
      <c r="W75" s="0" t="n">
        <v>826.2</v>
      </c>
      <c r="X75" s="6" t="n">
        <f aca="false">AVERAGE(D75:W75)</f>
        <v>825.755</v>
      </c>
      <c r="Y75" s="7" t="n">
        <f aca="false">_xlfn.STDEV.S(D75:W75)</f>
        <v>2.70447484930555</v>
      </c>
      <c r="Z75" s="7" t="n">
        <f aca="false">Y75/X75</f>
        <v>0.00327515407028181</v>
      </c>
    </row>
    <row r="76" customFormat="false" ht="16.75" hidden="false" customHeight="false" outlineLevel="0" collapsed="false">
      <c r="B76" s="4"/>
      <c r="C76" s="5" t="n">
        <v>38</v>
      </c>
      <c r="D76" s="0" t="n">
        <v>827.7</v>
      </c>
      <c r="E76" s="0" t="n">
        <v>834.1</v>
      </c>
      <c r="F76" s="0" t="n">
        <v>830.3</v>
      </c>
      <c r="G76" s="0" t="n">
        <v>831.7</v>
      </c>
      <c r="H76" s="0" t="n">
        <v>826.7</v>
      </c>
      <c r="I76" s="0" t="n">
        <v>830.3</v>
      </c>
      <c r="J76" s="0" t="n">
        <v>828.3</v>
      </c>
      <c r="K76" s="0" t="n">
        <v>828.4</v>
      </c>
      <c r="L76" s="0" t="n">
        <v>832.3</v>
      </c>
      <c r="M76" s="0" t="n">
        <v>827.4</v>
      </c>
      <c r="N76" s="0" t="n">
        <v>827.6</v>
      </c>
      <c r="O76" s="0" t="n">
        <v>826.6</v>
      </c>
      <c r="P76" s="0" t="n">
        <v>828</v>
      </c>
      <c r="Q76" s="0" t="n">
        <v>826.6</v>
      </c>
      <c r="R76" s="0" t="n">
        <v>831.2</v>
      </c>
      <c r="S76" s="0" t="n">
        <v>825.9</v>
      </c>
      <c r="T76" s="0" t="n">
        <v>828</v>
      </c>
      <c r="U76" s="0" t="n">
        <v>829.4</v>
      </c>
      <c r="V76" s="0" t="n">
        <v>830</v>
      </c>
      <c r="W76" s="0" t="n">
        <v>831.2</v>
      </c>
      <c r="X76" s="6" t="n">
        <f aca="false">AVERAGE(D76:W76)</f>
        <v>829.085</v>
      </c>
      <c r="Y76" s="7" t="n">
        <f aca="false">_xlfn.STDEV.S(D76:W76)</f>
        <v>2.22125497955785</v>
      </c>
      <c r="Z76" s="7" t="n">
        <f aca="false">Y76/X76</f>
        <v>0.002679164355353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812.5</v>
      </c>
      <c r="E77" s="0" t="n">
        <v>820.8</v>
      </c>
      <c r="F77" s="0" t="n">
        <v>817.4</v>
      </c>
      <c r="G77" s="0" t="n">
        <v>787.8</v>
      </c>
      <c r="H77" s="0" t="n">
        <v>799.9</v>
      </c>
      <c r="I77" s="0" t="n">
        <v>800</v>
      </c>
      <c r="J77" s="0" t="n">
        <v>815.7</v>
      </c>
      <c r="K77" s="0" t="n">
        <v>786.9</v>
      </c>
      <c r="L77" s="0" t="n">
        <v>819.9</v>
      </c>
      <c r="M77" s="0" t="n">
        <v>811.1</v>
      </c>
      <c r="N77" s="0" t="n">
        <v>820.4</v>
      </c>
      <c r="O77" s="0" t="n">
        <v>807.9</v>
      </c>
      <c r="P77" s="0" t="n">
        <v>811</v>
      </c>
      <c r="Q77" s="0" t="n">
        <v>790.9</v>
      </c>
      <c r="R77" s="0" t="n">
        <v>801.3</v>
      </c>
      <c r="S77" s="0" t="n">
        <v>794.3</v>
      </c>
      <c r="T77" s="0" t="n">
        <v>791.3</v>
      </c>
      <c r="U77" s="0" t="n">
        <v>792.4</v>
      </c>
      <c r="V77" s="0" t="n">
        <v>796.8</v>
      </c>
      <c r="W77" s="0" t="n">
        <v>787.4</v>
      </c>
      <c r="X77" s="6" t="n">
        <f aca="false">AVERAGE(D77:W77)</f>
        <v>803.285</v>
      </c>
      <c r="Y77" s="7" t="n">
        <f aca="false">_xlfn.STDEV.S(D77:W77)</f>
        <v>12.0982937030937</v>
      </c>
      <c r="Z77" s="7" t="n">
        <f aca="false">Y77/X77</f>
        <v>0.0150610228039783</v>
      </c>
    </row>
    <row r="78" customFormat="false" ht="16.75" hidden="false" customHeight="false" outlineLevel="0" collapsed="false">
      <c r="B78" s="4"/>
      <c r="C78" s="5" t="n">
        <v>63</v>
      </c>
      <c r="D78" s="0" t="n">
        <v>782.1</v>
      </c>
      <c r="E78" s="0" t="n">
        <v>826.5</v>
      </c>
      <c r="F78" s="0" t="n">
        <v>799</v>
      </c>
      <c r="G78" s="0" t="n">
        <v>801.8</v>
      </c>
      <c r="H78" s="0" t="n">
        <v>800.2</v>
      </c>
      <c r="I78" s="0" t="n">
        <v>796.5</v>
      </c>
      <c r="J78" s="0" t="n">
        <v>780.8</v>
      </c>
      <c r="K78" s="0" t="n">
        <v>790.8</v>
      </c>
      <c r="L78" s="0" t="n">
        <v>816.6</v>
      </c>
      <c r="M78" s="0" t="n">
        <v>786.5</v>
      </c>
      <c r="N78" s="0" t="n">
        <v>795.8</v>
      </c>
      <c r="O78" s="0" t="n">
        <v>795</v>
      </c>
      <c r="P78" s="0" t="n">
        <v>793</v>
      </c>
      <c r="Q78" s="0" t="n">
        <v>803.1</v>
      </c>
      <c r="R78" s="0" t="n">
        <v>791.8</v>
      </c>
      <c r="S78" s="0" t="n">
        <v>803.6</v>
      </c>
      <c r="T78" s="0" t="n">
        <v>789</v>
      </c>
      <c r="U78" s="0" t="n">
        <v>819</v>
      </c>
      <c r="V78" s="0" t="n">
        <v>781</v>
      </c>
      <c r="W78" s="0" t="n">
        <v>821.3</v>
      </c>
      <c r="X78" s="6" t="n">
        <f aca="false">AVERAGE(D78:W78)</f>
        <v>798.67</v>
      </c>
      <c r="Y78" s="7" t="n">
        <f aca="false">_xlfn.STDEV.S(D78:W78)</f>
        <v>13.363426128607</v>
      </c>
      <c r="Z78" s="7" t="n">
        <f aca="false">Y78/X78</f>
        <v>0.0167320997766374</v>
      </c>
    </row>
    <row r="79" customFormat="false" ht="16.75" hidden="false" customHeight="false" outlineLevel="0" collapsed="false">
      <c r="B79" s="4"/>
      <c r="C79" s="5" t="n">
        <v>93</v>
      </c>
      <c r="D79" s="0" t="n">
        <v>797.1</v>
      </c>
      <c r="E79" s="0" t="n">
        <v>811.9</v>
      </c>
      <c r="F79" s="0" t="n">
        <v>808.8</v>
      </c>
      <c r="G79" s="0" t="n">
        <v>823.3</v>
      </c>
      <c r="H79" s="0" t="n">
        <v>814.6</v>
      </c>
      <c r="I79" s="0" t="n">
        <v>817</v>
      </c>
      <c r="J79" s="0" t="n">
        <v>790.8</v>
      </c>
      <c r="K79" s="0" t="n">
        <v>798.7</v>
      </c>
      <c r="L79" s="0" t="n">
        <v>797.9</v>
      </c>
      <c r="M79" s="0" t="n">
        <v>787.6</v>
      </c>
      <c r="N79" s="0" t="n">
        <v>795.8</v>
      </c>
      <c r="O79" s="0" t="n">
        <v>803.5</v>
      </c>
      <c r="P79" s="0" t="n">
        <v>798.9</v>
      </c>
      <c r="Q79" s="0" t="n">
        <v>806</v>
      </c>
      <c r="R79" s="0" t="n">
        <v>825.9</v>
      </c>
      <c r="S79" s="0" t="n">
        <v>803.2</v>
      </c>
      <c r="T79" s="0" t="n">
        <v>804.8</v>
      </c>
      <c r="U79" s="0" t="n">
        <v>802.8</v>
      </c>
      <c r="V79" s="0" t="n">
        <v>825.7</v>
      </c>
      <c r="W79" s="0" t="n">
        <v>817.3</v>
      </c>
      <c r="X79" s="6" t="n">
        <f aca="false">AVERAGE(D79:W79)</f>
        <v>806.58</v>
      </c>
      <c r="Y79" s="7" t="n">
        <f aca="false">_xlfn.STDEV.S(D79:W79)</f>
        <v>11.215337242976</v>
      </c>
      <c r="Z79" s="7" t="n">
        <f aca="false">Y79/X79</f>
        <v>0.013904804536408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657.5</v>
      </c>
      <c r="E80" s="0" t="n">
        <v>646.1</v>
      </c>
      <c r="F80" s="0" t="n">
        <v>659.6</v>
      </c>
      <c r="G80" s="0" t="n">
        <v>644.9</v>
      </c>
      <c r="H80" s="0" t="n">
        <v>648.7</v>
      </c>
      <c r="I80" s="0" t="n">
        <v>645.3</v>
      </c>
      <c r="J80" s="0" t="n">
        <v>648.3</v>
      </c>
      <c r="K80" s="0" t="n">
        <v>637.6</v>
      </c>
      <c r="L80" s="0" t="n">
        <v>666.3</v>
      </c>
      <c r="M80" s="0" t="n">
        <v>667.7</v>
      </c>
      <c r="N80" s="0" t="n">
        <v>642.7</v>
      </c>
      <c r="O80" s="0" t="n">
        <v>646.8</v>
      </c>
      <c r="P80" s="0" t="n">
        <v>646.2</v>
      </c>
      <c r="Q80" s="0" t="n">
        <v>638.3</v>
      </c>
      <c r="R80" s="0" t="n">
        <v>674.9</v>
      </c>
      <c r="S80" s="0" t="n">
        <v>656.6</v>
      </c>
      <c r="T80" s="0" t="n">
        <v>668.1</v>
      </c>
      <c r="U80" s="0" t="n">
        <v>651.3</v>
      </c>
      <c r="V80" s="0" t="n">
        <v>662.3</v>
      </c>
      <c r="W80" s="0" t="n">
        <v>652.7</v>
      </c>
      <c r="X80" s="6" t="n">
        <f aca="false">AVERAGE(D80:W80)</f>
        <v>653.095</v>
      </c>
      <c r="Y80" s="7" t="n">
        <f aca="false">_xlfn.STDEV.S(D80:W80)</f>
        <v>10.5724804140402</v>
      </c>
      <c r="Z80" s="7" t="n">
        <f aca="false">Y80/X80</f>
        <v>0.0161882733967343</v>
      </c>
    </row>
    <row r="81" customFormat="false" ht="16.75" hidden="false" customHeight="false" outlineLevel="0" collapsed="false">
      <c r="B81" s="4"/>
      <c r="C81" s="5" t="n">
        <v>38</v>
      </c>
      <c r="D81" s="0" t="n">
        <v>694</v>
      </c>
      <c r="E81" s="0" t="n">
        <v>681.1</v>
      </c>
      <c r="F81" s="0" t="n">
        <v>675.2</v>
      </c>
      <c r="G81" s="0" t="n">
        <v>691.6</v>
      </c>
      <c r="H81" s="0" t="n">
        <v>676.9</v>
      </c>
      <c r="I81" s="0" t="n">
        <v>670.6</v>
      </c>
      <c r="J81" s="0" t="n">
        <v>676.1</v>
      </c>
      <c r="K81" s="0" t="n">
        <v>684</v>
      </c>
      <c r="L81" s="0" t="n">
        <v>683.7</v>
      </c>
      <c r="M81" s="0" t="n">
        <v>674.6</v>
      </c>
      <c r="N81" s="0" t="n">
        <v>679.3</v>
      </c>
      <c r="O81" s="0" t="n">
        <v>665.8</v>
      </c>
      <c r="P81" s="0" t="n">
        <v>692.8</v>
      </c>
      <c r="Q81" s="0" t="n">
        <v>701.1</v>
      </c>
      <c r="R81" s="0" t="n">
        <v>691.3</v>
      </c>
      <c r="S81" s="0" t="n">
        <v>680</v>
      </c>
      <c r="T81" s="0" t="n">
        <v>740.6</v>
      </c>
      <c r="U81" s="0" t="n">
        <v>702</v>
      </c>
      <c r="V81" s="0" t="n">
        <v>670.9</v>
      </c>
      <c r="W81" s="0" t="n">
        <v>681.1</v>
      </c>
      <c r="X81" s="6" t="n">
        <f aca="false">AVERAGE(D81:W81)</f>
        <v>685.635</v>
      </c>
      <c r="Y81" s="7" t="n">
        <f aca="false">_xlfn.STDEV.S(D81:W81)</f>
        <v>16.3369543963178</v>
      </c>
      <c r="Z81" s="7" t="n">
        <f aca="false">Y81/X81</f>
        <v>0.0238274802136965</v>
      </c>
    </row>
    <row r="82" customFormat="false" ht="16.75" hidden="false" customHeight="false" outlineLevel="0" collapsed="false">
      <c r="B82" s="4"/>
      <c r="C82" s="5" t="n">
        <v>50</v>
      </c>
      <c r="D82" s="0" t="n">
        <v>683.4</v>
      </c>
      <c r="E82" s="0" t="n">
        <v>701.9</v>
      </c>
      <c r="F82" s="0" t="n">
        <v>694.7</v>
      </c>
      <c r="G82" s="0" t="n">
        <v>690</v>
      </c>
      <c r="H82" s="0" t="n">
        <v>692.2</v>
      </c>
      <c r="I82" s="0" t="n">
        <v>700.9</v>
      </c>
      <c r="J82" s="0" t="n">
        <v>703.9</v>
      </c>
      <c r="K82" s="0" t="n">
        <v>694</v>
      </c>
      <c r="L82" s="0" t="n">
        <v>698.1</v>
      </c>
      <c r="M82" s="0" t="n">
        <v>685.5</v>
      </c>
      <c r="N82" s="0" t="n">
        <v>694.6</v>
      </c>
      <c r="O82" s="0" t="n">
        <v>702.4</v>
      </c>
      <c r="P82" s="0" t="n">
        <v>695</v>
      </c>
      <c r="Q82" s="0" t="n">
        <v>688.3</v>
      </c>
      <c r="R82" s="0" t="n">
        <v>691.1</v>
      </c>
      <c r="S82" s="0" t="n">
        <v>682.7</v>
      </c>
      <c r="T82" s="0" t="n">
        <v>685.8</v>
      </c>
      <c r="U82" s="0" t="n">
        <v>689.6</v>
      </c>
      <c r="V82" s="0" t="n">
        <v>700.2</v>
      </c>
      <c r="W82" s="0" t="n">
        <v>689.4</v>
      </c>
      <c r="X82" s="6" t="n">
        <f aca="false">AVERAGE(D82:W82)</f>
        <v>693.185</v>
      </c>
      <c r="Y82" s="7" t="n">
        <f aca="false">_xlfn.STDEV.S(D82:W82)</f>
        <v>6.49941495342789</v>
      </c>
      <c r="Z82" s="7" t="n">
        <f aca="false">Y82/X82</f>
        <v>0.00937616214059435</v>
      </c>
    </row>
    <row r="83" customFormat="false" ht="16.75" hidden="false" customHeight="false" outlineLevel="0" collapsed="false">
      <c r="B83" s="4"/>
      <c r="C83" s="5" t="n">
        <v>75</v>
      </c>
      <c r="D83" s="0" t="n">
        <v>659.6</v>
      </c>
      <c r="E83" s="0" t="n">
        <v>673.8</v>
      </c>
      <c r="F83" s="0" t="n">
        <v>665.3</v>
      </c>
      <c r="G83" s="0" t="n">
        <v>670.3</v>
      </c>
      <c r="H83" s="0" t="n">
        <v>665.1</v>
      </c>
      <c r="I83" s="0" t="n">
        <v>686.8</v>
      </c>
      <c r="J83" s="0" t="n">
        <v>679.3</v>
      </c>
      <c r="K83" s="0" t="n">
        <v>673.8</v>
      </c>
      <c r="L83" s="0" t="n">
        <v>675.5</v>
      </c>
      <c r="M83" s="0" t="n">
        <v>668.9</v>
      </c>
      <c r="N83" s="0" t="n">
        <v>663.1</v>
      </c>
      <c r="O83" s="0" t="n">
        <v>683.9</v>
      </c>
      <c r="P83" s="0" t="n">
        <v>675.5</v>
      </c>
      <c r="Q83" s="0" t="n">
        <v>679.2</v>
      </c>
      <c r="R83" s="0" t="n">
        <v>663.6</v>
      </c>
      <c r="S83" s="0" t="n">
        <v>667.6</v>
      </c>
      <c r="T83" s="0" t="n">
        <v>688.9</v>
      </c>
      <c r="U83" s="0" t="n">
        <v>682.6</v>
      </c>
      <c r="V83" s="0" t="n">
        <v>665.4</v>
      </c>
      <c r="W83" s="0" t="n">
        <v>687.7</v>
      </c>
      <c r="X83" s="6" t="n">
        <f aca="false">AVERAGE(D83:W83)</f>
        <v>673.795</v>
      </c>
      <c r="Y83" s="7" t="n">
        <f aca="false">_xlfn.STDEV.S(D83:W83)</f>
        <v>9.02694650243894</v>
      </c>
      <c r="Z83" s="7" t="n">
        <f aca="false">Y83/X83</f>
        <v>0.0133971705080016</v>
      </c>
    </row>
    <row r="84" customFormat="false" ht="16.75" hidden="false" customHeight="false" outlineLevel="0" collapsed="false">
      <c r="B84" s="4"/>
      <c r="C84" s="5" t="n">
        <v>100</v>
      </c>
      <c r="D84" s="0" t="n">
        <v>655.7</v>
      </c>
      <c r="E84" s="0" t="n">
        <v>692.3</v>
      </c>
      <c r="F84" s="0" t="n">
        <v>661.8</v>
      </c>
      <c r="G84" s="0" t="n">
        <v>668.7</v>
      </c>
      <c r="H84" s="0" t="n">
        <v>671.3</v>
      </c>
      <c r="I84" s="0" t="n">
        <v>666.1</v>
      </c>
      <c r="J84" s="0" t="n">
        <v>664.6</v>
      </c>
      <c r="K84" s="0" t="n">
        <v>675.5</v>
      </c>
      <c r="L84" s="0" t="n">
        <v>681.7</v>
      </c>
      <c r="M84" s="0" t="n">
        <v>682.8</v>
      </c>
      <c r="N84" s="0" t="n">
        <v>665.2</v>
      </c>
      <c r="O84" s="0" t="n">
        <v>684.1</v>
      </c>
      <c r="P84" s="0" t="n">
        <v>676.4</v>
      </c>
      <c r="Q84" s="0" t="n">
        <v>667.1</v>
      </c>
      <c r="R84" s="0" t="n">
        <v>693.4</v>
      </c>
      <c r="S84" s="0" t="n">
        <v>659.9</v>
      </c>
      <c r="T84" s="0" t="n">
        <v>679.9</v>
      </c>
      <c r="U84" s="0" t="n">
        <v>673.4</v>
      </c>
      <c r="V84" s="0" t="n">
        <v>669.5</v>
      </c>
      <c r="W84" s="0" t="n">
        <v>665.9</v>
      </c>
      <c r="X84" s="6" t="n">
        <f aca="false">AVERAGE(D84:W84)</f>
        <v>672.765</v>
      </c>
      <c r="Y84" s="7" t="n">
        <f aca="false">_xlfn.STDEV.S(D84:W84)</f>
        <v>10.367625470412</v>
      </c>
      <c r="Z84" s="7" t="n">
        <f aca="false">Y84/X84</f>
        <v>0.0154104709228513</v>
      </c>
    </row>
    <row r="85" customFormat="false" ht="16.75" hidden="false" customHeight="false" outlineLevel="0" collapsed="false">
      <c r="B85" s="4"/>
      <c r="C85" s="5" t="n">
        <v>150</v>
      </c>
      <c r="D85" s="0" t="n">
        <v>720.6</v>
      </c>
      <c r="E85" s="0" t="n">
        <v>726.1</v>
      </c>
      <c r="F85" s="0" t="n">
        <v>724.2</v>
      </c>
      <c r="G85" s="0" t="n">
        <v>712.6</v>
      </c>
      <c r="H85" s="0" t="n">
        <v>744.9</v>
      </c>
      <c r="I85" s="0" t="n">
        <v>721.4</v>
      </c>
      <c r="J85" s="0" t="n">
        <v>729.4</v>
      </c>
      <c r="K85" s="0" t="n">
        <v>745.7</v>
      </c>
      <c r="L85" s="0" t="n">
        <v>723.3</v>
      </c>
      <c r="M85" s="0" t="n">
        <v>743.2</v>
      </c>
      <c r="N85" s="0" t="n">
        <v>713.8</v>
      </c>
      <c r="O85" s="0" t="n">
        <v>753.7</v>
      </c>
      <c r="P85" s="0" t="n">
        <v>709.1</v>
      </c>
      <c r="Q85" s="0" t="n">
        <v>718.9</v>
      </c>
      <c r="R85" s="0" t="n">
        <v>716.5</v>
      </c>
      <c r="S85" s="0" t="n">
        <v>722.4</v>
      </c>
      <c r="T85" s="0" t="n">
        <v>713.5</v>
      </c>
      <c r="U85" s="0" t="n">
        <v>732.7</v>
      </c>
      <c r="V85" s="0" t="n">
        <v>719.6</v>
      </c>
      <c r="W85" s="0" t="n">
        <v>738.5</v>
      </c>
      <c r="X85" s="6" t="n">
        <f aca="false">AVERAGE(D85:W85)</f>
        <v>726.505</v>
      </c>
      <c r="Y85" s="7" t="n">
        <f aca="false">_xlfn.STDEV.S(D85:W85)</f>
        <v>12.6527082601232</v>
      </c>
      <c r="Z85" s="7" t="n">
        <f aca="false">Y85/X85</f>
        <v>0.0174158584732702</v>
      </c>
    </row>
    <row r="86" customFormat="false" ht="15" hidden="false" customHeight="true" outlineLevel="0" collapsed="false">
      <c r="A86" s="1" t="s">
        <v>0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837</v>
      </c>
      <c r="E91" s="0" t="n">
        <v>840</v>
      </c>
      <c r="F91" s="0" t="n">
        <v>842.1</v>
      </c>
      <c r="G91" s="0" t="n">
        <v>842.1</v>
      </c>
      <c r="H91" s="0" t="n">
        <v>842.1</v>
      </c>
      <c r="I91" s="0" t="n">
        <v>838.3</v>
      </c>
      <c r="J91" s="0" t="n">
        <v>836.5</v>
      </c>
      <c r="K91" s="0" t="n">
        <v>835.1</v>
      </c>
      <c r="L91" s="0" t="n">
        <v>839.1</v>
      </c>
      <c r="M91" s="0" t="n">
        <v>841</v>
      </c>
      <c r="N91" s="0" t="n">
        <v>839.1</v>
      </c>
      <c r="O91" s="0" t="n">
        <v>838.9</v>
      </c>
      <c r="P91" s="0" t="n">
        <v>839.1</v>
      </c>
      <c r="Q91" s="0" t="n">
        <v>839.5</v>
      </c>
      <c r="R91" s="0" t="n">
        <v>835.2</v>
      </c>
      <c r="S91" s="0" t="n">
        <v>843.3</v>
      </c>
      <c r="T91" s="0" t="n">
        <v>839.2</v>
      </c>
      <c r="U91" s="0" t="n">
        <v>839.1</v>
      </c>
      <c r="V91" s="0" t="n">
        <v>837.8</v>
      </c>
      <c r="W91" s="0" t="n">
        <v>843.9</v>
      </c>
      <c r="X91" s="6" t="n">
        <f aca="false">AVERAGE(D91:W91)</f>
        <v>839.42</v>
      </c>
      <c r="Y91" s="7" t="n">
        <f aca="false">_xlfn.STDEV.S(D91:W91)</f>
        <v>2.45991013956543</v>
      </c>
      <c r="Z91" s="7" t="n">
        <f aca="false">Y91/X91</f>
        <v>0.00293048788397397</v>
      </c>
    </row>
    <row r="92" customFormat="false" ht="16.75" hidden="false" customHeight="false" outlineLevel="0" collapsed="false">
      <c r="B92" s="4"/>
      <c r="C92" s="5" t="n">
        <v>25</v>
      </c>
      <c r="D92" s="0" t="n">
        <v>836.9</v>
      </c>
      <c r="E92" s="0" t="n">
        <v>842.8</v>
      </c>
      <c r="F92" s="0" t="n">
        <v>836.9</v>
      </c>
      <c r="G92" s="0" t="n">
        <v>838.8</v>
      </c>
      <c r="H92" s="0" t="n">
        <v>839.5</v>
      </c>
      <c r="I92" s="0" t="n">
        <v>833.8</v>
      </c>
      <c r="J92" s="0" t="n">
        <v>837.7</v>
      </c>
      <c r="K92" s="0" t="n">
        <v>842.2</v>
      </c>
      <c r="L92" s="0" t="n">
        <v>840.3</v>
      </c>
      <c r="M92" s="0" t="n">
        <v>836.8</v>
      </c>
      <c r="N92" s="0" t="n">
        <v>839.8</v>
      </c>
      <c r="O92" s="0" t="n">
        <v>839.1</v>
      </c>
      <c r="P92" s="0" t="n">
        <v>841.9</v>
      </c>
      <c r="Q92" s="0" t="n">
        <v>842.1</v>
      </c>
      <c r="R92" s="0" t="n">
        <v>839.3</v>
      </c>
      <c r="S92" s="0" t="n">
        <v>838.3</v>
      </c>
      <c r="T92" s="0" t="n">
        <v>836.3</v>
      </c>
      <c r="U92" s="0" t="n">
        <v>837.4</v>
      </c>
      <c r="V92" s="0" t="n">
        <v>842.7</v>
      </c>
      <c r="W92" s="0" t="n">
        <v>837.1</v>
      </c>
      <c r="X92" s="6" t="n">
        <f aca="false">AVERAGE(D92:W92)</f>
        <v>838.985</v>
      </c>
      <c r="Y92" s="7" t="n">
        <f aca="false">_xlfn.STDEV.S(D92:W92)</f>
        <v>2.46497037454175</v>
      </c>
      <c r="Z92" s="7" t="n">
        <f aca="false">Y92/X92</f>
        <v>0.00293803867118214</v>
      </c>
    </row>
    <row r="93" customFormat="false" ht="16.75" hidden="false" customHeight="false" outlineLevel="0" collapsed="false">
      <c r="B93" s="4"/>
      <c r="C93" s="5" t="n">
        <v>38</v>
      </c>
      <c r="D93" s="0" t="n">
        <v>841.8</v>
      </c>
      <c r="E93" s="0" t="n">
        <v>837.1</v>
      </c>
      <c r="F93" s="0" t="n">
        <v>836.5</v>
      </c>
      <c r="G93" s="0" t="n">
        <v>838.8</v>
      </c>
      <c r="H93" s="0" t="n">
        <v>835.1</v>
      </c>
      <c r="I93" s="0" t="n">
        <v>835.2</v>
      </c>
      <c r="J93" s="0" t="n">
        <v>838.4</v>
      </c>
      <c r="K93" s="0" t="n">
        <v>842.1</v>
      </c>
      <c r="L93" s="0" t="n">
        <v>836.4</v>
      </c>
      <c r="M93" s="0" t="n">
        <v>842.9</v>
      </c>
      <c r="N93" s="0" t="n">
        <v>841.8</v>
      </c>
      <c r="O93" s="0" t="n">
        <v>841.8</v>
      </c>
      <c r="P93" s="0" t="n">
        <v>837.7</v>
      </c>
      <c r="Q93" s="0" t="n">
        <v>840.6</v>
      </c>
      <c r="R93" s="0" t="n">
        <v>837.8</v>
      </c>
      <c r="S93" s="0" t="n">
        <v>837</v>
      </c>
      <c r="T93" s="0" t="n">
        <v>836.9</v>
      </c>
      <c r="U93" s="0" t="n">
        <v>840.5</v>
      </c>
      <c r="V93" s="0" t="n">
        <v>838.5</v>
      </c>
      <c r="W93" s="0" t="n">
        <v>844.9</v>
      </c>
      <c r="X93" s="6" t="n">
        <f aca="false">AVERAGE(D93:W93)</f>
        <v>839.09</v>
      </c>
      <c r="Y93" s="7" t="n">
        <f aca="false">_xlfn.STDEV.S(D93:W93)</f>
        <v>2.77448904731739</v>
      </c>
      <c r="Z93" s="7" t="n">
        <f aca="false">Y93/X93</f>
        <v>0.00330654524224742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790.2</v>
      </c>
      <c r="E94" s="0" t="n">
        <v>809.7</v>
      </c>
      <c r="F94" s="0" t="n">
        <v>786.8</v>
      </c>
      <c r="G94" s="0" t="n">
        <v>791</v>
      </c>
      <c r="H94" s="0" t="n">
        <v>777.8</v>
      </c>
      <c r="I94" s="0" t="n">
        <v>778.8</v>
      </c>
      <c r="J94" s="0" t="n">
        <v>775.8</v>
      </c>
      <c r="K94" s="0" t="n">
        <v>792.7</v>
      </c>
      <c r="L94" s="0" t="n">
        <v>786.9</v>
      </c>
      <c r="M94" s="0" t="n">
        <v>778.7</v>
      </c>
      <c r="N94" s="0" t="n">
        <v>784.4</v>
      </c>
      <c r="O94" s="0" t="n">
        <v>803.5</v>
      </c>
      <c r="P94" s="0" t="n">
        <v>779.3</v>
      </c>
      <c r="Q94" s="0" t="n">
        <v>786.8</v>
      </c>
      <c r="R94" s="0" t="n">
        <v>785.8</v>
      </c>
      <c r="S94" s="0" t="n">
        <v>784.8</v>
      </c>
      <c r="T94" s="0" t="n">
        <v>786</v>
      </c>
      <c r="U94" s="0" t="n">
        <v>802.9</v>
      </c>
      <c r="V94" s="0" t="n">
        <v>791.7</v>
      </c>
      <c r="W94" s="0" t="n">
        <v>789.6</v>
      </c>
      <c r="X94" s="6" t="n">
        <f aca="false">AVERAGE(D94:W94)</f>
        <v>788.16</v>
      </c>
      <c r="Y94" s="7" t="n">
        <f aca="false">_xlfn.STDEV.S(D94:W94)</f>
        <v>8.94617824901551</v>
      </c>
      <c r="Z94" s="7" t="n">
        <f aca="false">Y94/X94</f>
        <v>0.0113507133691325</v>
      </c>
    </row>
    <row r="95" customFormat="false" ht="16.75" hidden="false" customHeight="false" outlineLevel="0" collapsed="false">
      <c r="B95" s="4"/>
      <c r="C95" s="5" t="n">
        <v>63</v>
      </c>
      <c r="D95" s="0" t="n">
        <v>793.9</v>
      </c>
      <c r="E95" s="0" t="n">
        <v>790.7</v>
      </c>
      <c r="F95" s="0" t="n">
        <v>795.7</v>
      </c>
      <c r="G95" s="0" t="n">
        <v>790.9</v>
      </c>
      <c r="H95" s="0" t="n">
        <v>780.4</v>
      </c>
      <c r="I95" s="0" t="n">
        <v>796</v>
      </c>
      <c r="J95" s="0" t="n">
        <v>804.9</v>
      </c>
      <c r="K95" s="0" t="n">
        <v>794.6</v>
      </c>
      <c r="L95" s="0" t="n">
        <v>802.3</v>
      </c>
      <c r="M95" s="0" t="n">
        <v>799.7</v>
      </c>
      <c r="N95" s="0" t="n">
        <v>793.6</v>
      </c>
      <c r="O95" s="0" t="n">
        <v>789.7</v>
      </c>
      <c r="P95" s="0" t="n">
        <v>821.7</v>
      </c>
      <c r="Q95" s="0" t="n">
        <v>799</v>
      </c>
      <c r="R95" s="0" t="n">
        <v>807.6</v>
      </c>
      <c r="S95" s="0" t="n">
        <v>794.4</v>
      </c>
      <c r="T95" s="0" t="n">
        <v>797.2</v>
      </c>
      <c r="U95" s="0" t="n">
        <v>810.5</v>
      </c>
      <c r="V95" s="0" t="n">
        <v>798.3</v>
      </c>
      <c r="W95" s="0" t="n">
        <v>794.7</v>
      </c>
      <c r="X95" s="6" t="n">
        <f aca="false">AVERAGE(D95:W95)</f>
        <v>797.79</v>
      </c>
      <c r="Y95" s="7" t="n">
        <f aca="false">_xlfn.STDEV.S(D95:W95)</f>
        <v>8.71525583161656</v>
      </c>
      <c r="Z95" s="7" t="n">
        <f aca="false">Y95/X95</f>
        <v>0.0109242480246889</v>
      </c>
    </row>
    <row r="96" customFormat="false" ht="16.75" hidden="false" customHeight="false" outlineLevel="0" collapsed="false">
      <c r="B96" s="4"/>
      <c r="C96" s="5" t="n">
        <v>93</v>
      </c>
      <c r="D96" s="0" t="n">
        <v>789</v>
      </c>
      <c r="E96" s="0" t="n">
        <v>782.3</v>
      </c>
      <c r="F96" s="0" t="n">
        <v>804.2</v>
      </c>
      <c r="G96" s="0" t="n">
        <v>787.8</v>
      </c>
      <c r="H96" s="0" t="n">
        <v>782.4</v>
      </c>
      <c r="I96" s="0" t="n">
        <v>781.1</v>
      </c>
      <c r="J96" s="0" t="n">
        <v>784</v>
      </c>
      <c r="K96" s="0" t="n">
        <v>813.5</v>
      </c>
      <c r="L96" s="0" t="n">
        <v>794.5</v>
      </c>
      <c r="M96" s="0" t="n">
        <v>824.1</v>
      </c>
      <c r="N96" s="0" t="n">
        <v>783.1</v>
      </c>
      <c r="O96" s="0" t="n">
        <v>801.7</v>
      </c>
      <c r="P96" s="0" t="n">
        <v>785.1</v>
      </c>
      <c r="Q96" s="0" t="n">
        <v>783.3</v>
      </c>
      <c r="R96" s="0" t="n">
        <v>798.5</v>
      </c>
      <c r="S96" s="0" t="n">
        <v>805.4</v>
      </c>
      <c r="T96" s="0" t="n">
        <v>803.4</v>
      </c>
      <c r="U96" s="0" t="n">
        <v>787.8</v>
      </c>
      <c r="V96" s="0" t="n">
        <v>807.5</v>
      </c>
      <c r="W96" s="0" t="n">
        <v>820.7</v>
      </c>
      <c r="X96" s="6" t="n">
        <f aca="false">AVERAGE(D96:W96)</f>
        <v>795.97</v>
      </c>
      <c r="Y96" s="7" t="n">
        <f aca="false">_xlfn.STDEV.S(D96:W96)</f>
        <v>13.4910925779704</v>
      </c>
      <c r="Z96" s="7" t="n">
        <f aca="false">Y96/X96</f>
        <v>0.0169492475570316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656.2</v>
      </c>
      <c r="E97" s="0" t="n">
        <v>643</v>
      </c>
      <c r="F97" s="0" t="n">
        <v>648.5</v>
      </c>
      <c r="G97" s="0" t="n">
        <v>652.1</v>
      </c>
      <c r="H97" s="0" t="n">
        <v>641.5</v>
      </c>
      <c r="I97" s="0" t="n">
        <v>650.8</v>
      </c>
      <c r="J97" s="0" t="n">
        <v>670.8</v>
      </c>
      <c r="K97" s="0" t="n">
        <v>663.3</v>
      </c>
      <c r="L97" s="0" t="n">
        <v>658.8</v>
      </c>
      <c r="M97" s="0" t="n">
        <v>666.2</v>
      </c>
      <c r="N97" s="0" t="n">
        <v>664.5</v>
      </c>
      <c r="O97" s="0" t="n">
        <v>683.8</v>
      </c>
      <c r="P97" s="0" t="n">
        <v>654.1</v>
      </c>
      <c r="Q97" s="0" t="n">
        <v>645.4</v>
      </c>
      <c r="R97" s="0" t="n">
        <v>640.5</v>
      </c>
      <c r="S97" s="0" t="n">
        <v>649.6</v>
      </c>
      <c r="T97" s="0" t="n">
        <v>654.5</v>
      </c>
      <c r="U97" s="0" t="n">
        <v>665.6</v>
      </c>
      <c r="V97" s="0" t="n">
        <v>654.2</v>
      </c>
      <c r="W97" s="0" t="n">
        <v>647.4</v>
      </c>
      <c r="X97" s="6" t="n">
        <f aca="false">AVERAGE(D97:W97)</f>
        <v>655.54</v>
      </c>
      <c r="Y97" s="7" t="n">
        <f aca="false">_xlfn.STDEV.S(D97:W97)</f>
        <v>10.9343687999185</v>
      </c>
      <c r="Z97" s="7" t="n">
        <f aca="false">Y97/X97</f>
        <v>0.0166799414222145</v>
      </c>
    </row>
    <row r="98" customFormat="false" ht="16.75" hidden="false" customHeight="false" outlineLevel="0" collapsed="false">
      <c r="B98" s="4"/>
      <c r="C98" s="5" t="n">
        <v>38</v>
      </c>
      <c r="D98" s="0" t="n">
        <v>683.4</v>
      </c>
      <c r="E98" s="0" t="n">
        <v>681.7</v>
      </c>
      <c r="F98" s="0" t="n">
        <v>687.5</v>
      </c>
      <c r="G98" s="0" t="n">
        <v>690.8</v>
      </c>
      <c r="H98" s="0" t="n">
        <v>671.2</v>
      </c>
      <c r="I98" s="0" t="n">
        <v>687.5</v>
      </c>
      <c r="J98" s="0" t="n">
        <v>675.5</v>
      </c>
      <c r="K98" s="0" t="n">
        <v>679.5</v>
      </c>
      <c r="L98" s="0" t="n">
        <v>680.7</v>
      </c>
      <c r="M98" s="0" t="n">
        <v>668.3</v>
      </c>
      <c r="N98" s="0" t="n">
        <v>686.2</v>
      </c>
      <c r="O98" s="0" t="n">
        <v>693.7</v>
      </c>
      <c r="P98" s="0" t="n">
        <v>675.9</v>
      </c>
      <c r="Q98" s="0" t="n">
        <v>663.1</v>
      </c>
      <c r="R98" s="0" t="n">
        <v>694.5</v>
      </c>
      <c r="S98" s="0" t="n">
        <v>690.5</v>
      </c>
      <c r="T98" s="0" t="n">
        <v>670.2</v>
      </c>
      <c r="U98" s="0" t="n">
        <v>661.9</v>
      </c>
      <c r="V98" s="0" t="n">
        <v>657.1</v>
      </c>
      <c r="W98" s="0" t="n">
        <v>684.6</v>
      </c>
      <c r="X98" s="6" t="n">
        <f aca="false">AVERAGE(D98:W98)</f>
        <v>679.19</v>
      </c>
      <c r="Y98" s="7" t="n">
        <f aca="false">_xlfn.STDEV.S(D98:W98)</f>
        <v>10.9641953169108</v>
      </c>
      <c r="Z98" s="7" t="n">
        <f aca="false">Y98/X98</f>
        <v>0.0161430458589066</v>
      </c>
    </row>
    <row r="99" customFormat="false" ht="16.75" hidden="false" customHeight="false" outlineLevel="0" collapsed="false">
      <c r="B99" s="4"/>
      <c r="C99" s="5" t="n">
        <v>50</v>
      </c>
      <c r="D99" s="0" t="n">
        <v>709.6</v>
      </c>
      <c r="E99" s="0" t="n">
        <v>686.2</v>
      </c>
      <c r="F99" s="0" t="n">
        <v>700.9</v>
      </c>
      <c r="G99" s="0" t="n">
        <v>697</v>
      </c>
      <c r="H99" s="0" t="n">
        <v>699.9</v>
      </c>
      <c r="I99" s="0" t="n">
        <v>696.5</v>
      </c>
      <c r="J99" s="0" t="n">
        <v>686.6</v>
      </c>
      <c r="K99" s="0" t="n">
        <v>686.1</v>
      </c>
      <c r="L99" s="0" t="n">
        <v>688.6</v>
      </c>
      <c r="M99" s="0" t="n">
        <v>693.2</v>
      </c>
      <c r="N99" s="0" t="n">
        <v>703.6</v>
      </c>
      <c r="O99" s="0" t="n">
        <v>694.4</v>
      </c>
      <c r="P99" s="0" t="n">
        <v>696.5</v>
      </c>
      <c r="Q99" s="0" t="n">
        <v>689.1</v>
      </c>
      <c r="R99" s="0" t="n">
        <v>690.1</v>
      </c>
      <c r="S99" s="0" t="n">
        <v>700.9</v>
      </c>
      <c r="T99" s="0" t="n">
        <v>682</v>
      </c>
      <c r="U99" s="0" t="n">
        <v>693.8</v>
      </c>
      <c r="V99" s="0" t="n">
        <v>688.1</v>
      </c>
      <c r="W99" s="0" t="n">
        <v>685.6</v>
      </c>
      <c r="X99" s="6" t="n">
        <f aca="false">AVERAGE(D99:W99)</f>
        <v>693.435</v>
      </c>
      <c r="Y99" s="7" t="n">
        <f aca="false">_xlfn.STDEV.S(D99:W99)</f>
        <v>7.17182168739501</v>
      </c>
      <c r="Z99" s="7" t="n">
        <f aca="false">Y99/X99</f>
        <v>0.0103424570253809</v>
      </c>
    </row>
    <row r="100" customFormat="false" ht="16.75" hidden="false" customHeight="false" outlineLevel="0" collapsed="false">
      <c r="B100" s="4"/>
      <c r="C100" s="5" t="n">
        <v>75</v>
      </c>
      <c r="D100" s="0" t="n">
        <v>681.8</v>
      </c>
      <c r="E100" s="0" t="n">
        <v>650.2</v>
      </c>
      <c r="F100" s="0" t="n">
        <v>667.2</v>
      </c>
      <c r="G100" s="0" t="n">
        <v>671.7</v>
      </c>
      <c r="H100" s="0" t="n">
        <v>670.3</v>
      </c>
      <c r="I100" s="0" t="n">
        <v>658.7</v>
      </c>
      <c r="J100" s="0" t="n">
        <v>666.6</v>
      </c>
      <c r="K100" s="0" t="n">
        <v>662.3</v>
      </c>
      <c r="L100" s="0" t="n">
        <v>652.8</v>
      </c>
      <c r="M100" s="0" t="n">
        <v>658.3</v>
      </c>
      <c r="N100" s="0" t="n">
        <v>658.4</v>
      </c>
      <c r="O100" s="0" t="n">
        <v>659.6</v>
      </c>
      <c r="P100" s="0" t="n">
        <v>672.5</v>
      </c>
      <c r="Q100" s="0" t="n">
        <v>662.9</v>
      </c>
      <c r="R100" s="0" t="n">
        <v>664.3</v>
      </c>
      <c r="S100" s="0" t="n">
        <v>665.6</v>
      </c>
      <c r="T100" s="0" t="n">
        <v>664.5</v>
      </c>
      <c r="U100" s="0" t="n">
        <v>676.5</v>
      </c>
      <c r="V100" s="0" t="n">
        <v>655</v>
      </c>
      <c r="W100" s="0" t="n">
        <v>657.9</v>
      </c>
      <c r="X100" s="6" t="n">
        <f aca="false">AVERAGE(D100:W100)</f>
        <v>663.855</v>
      </c>
      <c r="Y100" s="7" t="n">
        <f aca="false">_xlfn.STDEV.S(D100:W100)</f>
        <v>7.99107890746069</v>
      </c>
      <c r="Z100" s="7" t="n">
        <f aca="false">Y100/X100</f>
        <v>0.0120373860368012</v>
      </c>
    </row>
    <row r="101" customFormat="false" ht="16.75" hidden="false" customHeight="false" outlineLevel="0" collapsed="false">
      <c r="B101" s="4"/>
      <c r="C101" s="5" t="n">
        <v>100</v>
      </c>
      <c r="D101" s="0" t="n">
        <v>667.1</v>
      </c>
      <c r="E101" s="0" t="n">
        <v>661.4</v>
      </c>
      <c r="F101" s="0" t="n">
        <v>644.8</v>
      </c>
      <c r="G101" s="0" t="n">
        <v>645.5</v>
      </c>
      <c r="H101" s="0" t="n">
        <v>666.8</v>
      </c>
      <c r="I101" s="0" t="n">
        <v>670.3</v>
      </c>
      <c r="J101" s="0" t="n">
        <v>665.3</v>
      </c>
      <c r="K101" s="0" t="n">
        <v>644.6</v>
      </c>
      <c r="L101" s="0" t="n">
        <v>641.9</v>
      </c>
      <c r="M101" s="0" t="n">
        <v>650.1</v>
      </c>
      <c r="N101" s="0" t="n">
        <v>643.8</v>
      </c>
      <c r="O101" s="0" t="n">
        <v>658.1</v>
      </c>
      <c r="P101" s="0" t="n">
        <v>638</v>
      </c>
      <c r="Q101" s="0" t="n">
        <v>655.4</v>
      </c>
      <c r="R101" s="0" t="n">
        <v>652.4</v>
      </c>
      <c r="S101" s="0" t="n">
        <v>651</v>
      </c>
      <c r="T101" s="0" t="n">
        <v>658.2</v>
      </c>
      <c r="U101" s="0" t="n">
        <v>647.7</v>
      </c>
      <c r="V101" s="0" t="n">
        <v>661.4</v>
      </c>
      <c r="W101" s="0" t="n">
        <v>666.7</v>
      </c>
      <c r="X101" s="6" t="n">
        <f aca="false">AVERAGE(D101:W101)</f>
        <v>654.525</v>
      </c>
      <c r="Y101" s="7" t="n">
        <f aca="false">_xlfn.STDEV.S(D101:W101)</f>
        <v>9.86406956692077</v>
      </c>
      <c r="Z101" s="7" t="n">
        <f aca="false">Y101/X101</f>
        <v>0.0150705772383343</v>
      </c>
    </row>
    <row r="102" customFormat="false" ht="16.75" hidden="false" customHeight="false" outlineLevel="0" collapsed="false">
      <c r="B102" s="4"/>
      <c r="C102" s="5" t="n">
        <v>150</v>
      </c>
      <c r="D102" s="0" t="n">
        <v>692.5</v>
      </c>
      <c r="E102" s="0" t="n">
        <v>703.9</v>
      </c>
      <c r="F102" s="0" t="n">
        <v>684.1</v>
      </c>
      <c r="G102" s="0" t="n">
        <v>716.1</v>
      </c>
      <c r="H102" s="0" t="n">
        <v>710.7</v>
      </c>
      <c r="I102" s="0" t="n">
        <v>685</v>
      </c>
      <c r="J102" s="0" t="n">
        <v>701.1</v>
      </c>
      <c r="K102" s="0" t="n">
        <v>685.3</v>
      </c>
      <c r="L102" s="0" t="n">
        <v>697.3</v>
      </c>
      <c r="M102" s="0" t="n">
        <v>705</v>
      </c>
      <c r="N102" s="0" t="n">
        <v>695</v>
      </c>
      <c r="O102" s="0" t="n">
        <v>723.2</v>
      </c>
      <c r="P102" s="0" t="n">
        <v>717</v>
      </c>
      <c r="Q102" s="0" t="n">
        <v>691.9</v>
      </c>
      <c r="R102" s="0" t="n">
        <v>705.3</v>
      </c>
      <c r="S102" s="0" t="n">
        <v>694.6</v>
      </c>
      <c r="T102" s="0" t="n">
        <v>690.9</v>
      </c>
      <c r="U102" s="0" t="n">
        <v>723.9</v>
      </c>
      <c r="V102" s="0" t="n">
        <v>705.7</v>
      </c>
      <c r="W102" s="0" t="n">
        <v>687.6</v>
      </c>
      <c r="X102" s="6" t="n">
        <f aca="false">AVERAGE(D102:W102)</f>
        <v>700.805</v>
      </c>
      <c r="Y102" s="7" t="n">
        <f aca="false">_xlfn.STDEV.S(D102:W102)</f>
        <v>12.513086833602</v>
      </c>
      <c r="Z102" s="7" t="n">
        <f aca="false">Y102/X102</f>
        <v>0.0178553047332739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Y91" activeCellId="0" sqref="Y9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32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715</v>
      </c>
      <c r="E6" s="0" t="n">
        <v>700.8</v>
      </c>
      <c r="F6" s="0" t="n">
        <v>701.4</v>
      </c>
      <c r="G6" s="0" t="n">
        <v>701.7</v>
      </c>
      <c r="H6" s="0" t="n">
        <v>708.5</v>
      </c>
      <c r="I6" s="0" t="n">
        <v>702.7</v>
      </c>
      <c r="J6" s="0" t="n">
        <v>699.5</v>
      </c>
      <c r="K6" s="0" t="n">
        <v>695.2</v>
      </c>
      <c r="L6" s="0" t="n">
        <v>705.5</v>
      </c>
      <c r="M6" s="0" t="n">
        <v>701.5</v>
      </c>
      <c r="N6" s="0" t="n">
        <v>703.4</v>
      </c>
      <c r="O6" s="0" t="n">
        <v>697.1</v>
      </c>
      <c r="P6" s="0" t="n">
        <v>701.6</v>
      </c>
      <c r="Q6" s="0" t="n">
        <v>702.1</v>
      </c>
      <c r="R6" s="0" t="n">
        <v>699.3</v>
      </c>
      <c r="S6" s="0" t="n">
        <v>693.7</v>
      </c>
      <c r="T6" s="0" t="n">
        <v>692.3</v>
      </c>
      <c r="U6" s="0" t="n">
        <v>695.2</v>
      </c>
      <c r="V6" s="0" t="n">
        <v>696.9</v>
      </c>
      <c r="W6" s="0" t="n">
        <v>698.1</v>
      </c>
      <c r="X6" s="6" t="n">
        <f aca="false">AVERAGE(D6:W6)</f>
        <v>700.575</v>
      </c>
      <c r="Y6" s="7" t="n">
        <f aca="false">_xlfn.STDEV.S(D6:W6)</f>
        <v>5.2409194653329</v>
      </c>
      <c r="Z6" s="7" t="n">
        <f aca="false">Y6/X6</f>
        <v>0.00748088279674966</v>
      </c>
    </row>
    <row r="7" customFormat="false" ht="16.75" hidden="false" customHeight="false" outlineLevel="0" collapsed="false">
      <c r="B7" s="4"/>
      <c r="C7" s="5" t="n">
        <v>25</v>
      </c>
      <c r="D7" s="0" t="n">
        <v>697.5</v>
      </c>
      <c r="E7" s="0" t="n">
        <v>694.8</v>
      </c>
      <c r="F7" s="0" t="n">
        <v>690.8</v>
      </c>
      <c r="G7" s="0" t="n">
        <v>693.8</v>
      </c>
      <c r="H7" s="0" t="n">
        <v>692.5</v>
      </c>
      <c r="I7" s="0" t="n">
        <v>688.6</v>
      </c>
      <c r="J7" s="0" t="n">
        <v>692.5</v>
      </c>
      <c r="K7" s="0" t="n">
        <v>690.8</v>
      </c>
      <c r="L7" s="0" t="n">
        <v>690.6</v>
      </c>
      <c r="M7" s="0" t="n">
        <v>692.2</v>
      </c>
      <c r="N7" s="0" t="n">
        <v>691.8</v>
      </c>
      <c r="O7" s="0" t="n">
        <v>691.8</v>
      </c>
      <c r="P7" s="0" t="n">
        <v>697.3</v>
      </c>
      <c r="Q7" s="0" t="n">
        <v>693</v>
      </c>
      <c r="R7" s="0" t="n">
        <v>688.7</v>
      </c>
      <c r="S7" s="0" t="n">
        <v>691.5</v>
      </c>
      <c r="T7" s="0" t="n">
        <v>694.2</v>
      </c>
      <c r="U7" s="0" t="n">
        <v>709.8</v>
      </c>
      <c r="V7" s="0" t="n">
        <v>688.4</v>
      </c>
      <c r="W7" s="0" t="n">
        <v>694.3</v>
      </c>
      <c r="X7" s="6" t="n">
        <f aca="false">AVERAGE(D7:W7)</f>
        <v>693.245</v>
      </c>
      <c r="Y7" s="7" t="n">
        <f aca="false">_xlfn.STDEV.S(D7:W7)</f>
        <v>4.63118434323797</v>
      </c>
      <c r="Z7" s="7" t="n">
        <f aca="false">Y7/X7</f>
        <v>0.00668044391699612</v>
      </c>
    </row>
    <row r="8" customFormat="false" ht="16.75" hidden="false" customHeight="false" outlineLevel="0" collapsed="false">
      <c r="B8" s="4"/>
      <c r="C8" s="5" t="n">
        <v>38</v>
      </c>
      <c r="D8" s="0" t="n">
        <v>689.5</v>
      </c>
      <c r="E8" s="0" t="n">
        <v>690.7</v>
      </c>
      <c r="F8" s="0" t="n">
        <v>697.1</v>
      </c>
      <c r="G8" s="0" t="n">
        <v>694.1</v>
      </c>
      <c r="H8" s="0" t="n">
        <v>694.1</v>
      </c>
      <c r="I8" s="0" t="n">
        <v>693.6</v>
      </c>
      <c r="J8" s="0" t="n">
        <v>687.5</v>
      </c>
      <c r="K8" s="0" t="n">
        <v>687.3</v>
      </c>
      <c r="L8" s="0" t="n">
        <v>696.4</v>
      </c>
      <c r="M8" s="0" t="n">
        <v>696.6</v>
      </c>
      <c r="N8" s="0" t="n">
        <v>684.4</v>
      </c>
      <c r="O8" s="0" t="n">
        <v>704.6</v>
      </c>
      <c r="P8" s="0" t="n">
        <v>705.5</v>
      </c>
      <c r="Q8" s="0" t="n">
        <v>691.2</v>
      </c>
      <c r="R8" s="0" t="n">
        <v>692.7</v>
      </c>
      <c r="S8" s="0" t="n">
        <v>689.8</v>
      </c>
      <c r="T8" s="0" t="n">
        <v>686</v>
      </c>
      <c r="U8" s="0" t="n">
        <v>699.3</v>
      </c>
      <c r="V8" s="0" t="n">
        <v>689.9</v>
      </c>
      <c r="W8" s="0" t="n">
        <v>688.3</v>
      </c>
      <c r="X8" s="6" t="n">
        <f aca="false">AVERAGE(D8:W8)</f>
        <v>692.93</v>
      </c>
      <c r="Y8" s="7" t="n">
        <f aca="false">_xlfn.STDEV.S(D8:W8)</f>
        <v>5.72631046826379</v>
      </c>
      <c r="Z8" s="7" t="n">
        <f aca="false">Y8/X8</f>
        <v>0.00826390900706246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657.2</v>
      </c>
      <c r="E9" s="0" t="n">
        <v>662.2</v>
      </c>
      <c r="F9" s="0" t="n">
        <v>679.3</v>
      </c>
      <c r="G9" s="0" t="n">
        <v>651.2</v>
      </c>
      <c r="H9" s="0" t="n">
        <v>671.5</v>
      </c>
      <c r="I9" s="0" t="n">
        <v>650.7</v>
      </c>
      <c r="J9" s="0" t="n">
        <v>644.3</v>
      </c>
      <c r="K9" s="0" t="n">
        <v>653.3</v>
      </c>
      <c r="L9" s="0" t="n">
        <v>650.2</v>
      </c>
      <c r="M9" s="0" t="n">
        <v>646.4</v>
      </c>
      <c r="N9" s="0" t="n">
        <v>670.6</v>
      </c>
      <c r="O9" s="0" t="n">
        <v>648.1</v>
      </c>
      <c r="P9" s="0" t="n">
        <v>656</v>
      </c>
      <c r="Q9" s="0" t="n">
        <v>661.9</v>
      </c>
      <c r="R9" s="0" t="n">
        <v>651.3</v>
      </c>
      <c r="S9" s="0" t="n">
        <v>655.7</v>
      </c>
      <c r="T9" s="0" t="n">
        <v>640.9</v>
      </c>
      <c r="U9" s="0" t="n">
        <v>644.2</v>
      </c>
      <c r="V9" s="0" t="n">
        <v>644.2</v>
      </c>
      <c r="W9" s="0" t="n">
        <v>642</v>
      </c>
      <c r="X9" s="6" t="n">
        <f aca="false">AVERAGE(D9:W9)</f>
        <v>654.06</v>
      </c>
      <c r="Y9" s="7" t="n">
        <f aca="false">_xlfn.STDEV.S(D9:W9)</f>
        <v>10.5229273493643</v>
      </c>
      <c r="Z9" s="7" t="n">
        <f aca="false">Y9/X9</f>
        <v>0.0160886269598574</v>
      </c>
    </row>
    <row r="10" customFormat="false" ht="16.75" hidden="false" customHeight="false" outlineLevel="0" collapsed="false">
      <c r="B10" s="4"/>
      <c r="C10" s="5" t="n">
        <v>63</v>
      </c>
      <c r="D10" s="0" t="n">
        <v>666.9</v>
      </c>
      <c r="E10" s="0" t="n">
        <v>659.7</v>
      </c>
      <c r="F10" s="0" t="n">
        <v>674.7</v>
      </c>
      <c r="G10" s="0" t="n">
        <v>658.7</v>
      </c>
      <c r="H10" s="0" t="n">
        <v>662.4</v>
      </c>
      <c r="I10" s="0" t="n">
        <v>660.9</v>
      </c>
      <c r="J10" s="0" t="n">
        <v>661.1</v>
      </c>
      <c r="K10" s="0" t="n">
        <v>667.6</v>
      </c>
      <c r="L10" s="0" t="n">
        <v>660.6</v>
      </c>
      <c r="M10" s="0" t="n">
        <v>659.4</v>
      </c>
      <c r="N10" s="0" t="n">
        <v>663.4</v>
      </c>
      <c r="O10" s="0" t="n">
        <v>669.2</v>
      </c>
      <c r="P10" s="0" t="n">
        <v>655.9</v>
      </c>
      <c r="Q10" s="0" t="n">
        <v>662.1</v>
      </c>
      <c r="R10" s="0" t="n">
        <v>657.6</v>
      </c>
      <c r="S10" s="0" t="n">
        <v>666.9</v>
      </c>
      <c r="T10" s="0" t="n">
        <v>667.7</v>
      </c>
      <c r="U10" s="0" t="n">
        <v>665.7</v>
      </c>
      <c r="V10" s="0" t="n">
        <v>664</v>
      </c>
      <c r="W10" s="0" t="n">
        <v>673.2</v>
      </c>
      <c r="X10" s="6" t="n">
        <f aca="false">AVERAGE(D10:W10)</f>
        <v>663.885</v>
      </c>
      <c r="Y10" s="7" t="n">
        <f aca="false">_xlfn.STDEV.S(D10:W10)</f>
        <v>5.04028769020183</v>
      </c>
      <c r="Z10" s="7" t="n">
        <f aca="false">Y10/X10</f>
        <v>0.00759210961266158</v>
      </c>
    </row>
    <row r="11" customFormat="false" ht="16.75" hidden="false" customHeight="false" outlineLevel="0" collapsed="false">
      <c r="B11" s="4"/>
      <c r="C11" s="5" t="n">
        <v>93</v>
      </c>
      <c r="D11" s="0" t="n">
        <v>662.9</v>
      </c>
      <c r="E11" s="0" t="n">
        <v>656.7</v>
      </c>
      <c r="F11" s="0" t="n">
        <v>683.3</v>
      </c>
      <c r="G11" s="0" t="n">
        <v>661.4</v>
      </c>
      <c r="H11" s="0" t="n">
        <v>665.7</v>
      </c>
      <c r="I11" s="0" t="n">
        <v>658.5</v>
      </c>
      <c r="J11" s="0" t="n">
        <v>672.4</v>
      </c>
      <c r="K11" s="0" t="n">
        <v>658.5</v>
      </c>
      <c r="L11" s="0" t="n">
        <v>663.9</v>
      </c>
      <c r="M11" s="0" t="n">
        <v>661</v>
      </c>
      <c r="N11" s="0" t="n">
        <v>664.3</v>
      </c>
      <c r="O11" s="0" t="n">
        <v>665.6</v>
      </c>
      <c r="P11" s="0" t="n">
        <v>658.5</v>
      </c>
      <c r="Q11" s="0" t="n">
        <v>659.2</v>
      </c>
      <c r="R11" s="0" t="n">
        <v>663.9</v>
      </c>
      <c r="S11" s="0" t="n">
        <v>662.5</v>
      </c>
      <c r="T11" s="0" t="n">
        <v>666.3</v>
      </c>
      <c r="U11" s="0" t="n">
        <v>666</v>
      </c>
      <c r="V11" s="0" t="n">
        <v>656.4</v>
      </c>
      <c r="W11" s="0" t="n">
        <v>651.9</v>
      </c>
      <c r="X11" s="6" t="n">
        <f aca="false">AVERAGE(D11:W11)</f>
        <v>662.945</v>
      </c>
      <c r="Y11" s="7" t="n">
        <f aca="false">_xlfn.STDEV.S(D11:W11)</f>
        <v>6.59389470407444</v>
      </c>
      <c r="Z11" s="7" t="n">
        <f aca="false">Y11/X11</f>
        <v>0.00994636765353753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597.7</v>
      </c>
      <c r="E12" s="0" t="n">
        <v>576.3</v>
      </c>
      <c r="F12" s="0" t="n">
        <v>581.1</v>
      </c>
      <c r="G12" s="0" t="n">
        <v>587.2</v>
      </c>
      <c r="H12" s="0" t="n">
        <v>561.4</v>
      </c>
      <c r="I12" s="0" t="n">
        <v>553.8</v>
      </c>
      <c r="J12" s="0" t="n">
        <v>584.1</v>
      </c>
      <c r="K12" s="0" t="n">
        <v>560.9</v>
      </c>
      <c r="L12" s="0" t="n">
        <v>565.6</v>
      </c>
      <c r="M12" s="0" t="n">
        <v>561.5</v>
      </c>
      <c r="N12" s="0" t="n">
        <v>584.1</v>
      </c>
      <c r="O12" s="0" t="n">
        <v>590.7</v>
      </c>
      <c r="P12" s="0" t="n">
        <v>580.4</v>
      </c>
      <c r="Q12" s="0" t="n">
        <v>561.6</v>
      </c>
      <c r="R12" s="0" t="n">
        <v>582.6</v>
      </c>
      <c r="S12" s="0" t="n">
        <v>579</v>
      </c>
      <c r="T12" s="0" t="n">
        <v>583</v>
      </c>
      <c r="U12" s="0" t="n">
        <v>561.9</v>
      </c>
      <c r="V12" s="0" t="n">
        <v>569.8</v>
      </c>
      <c r="W12" s="0" t="n">
        <v>564.9</v>
      </c>
      <c r="X12" s="6" t="n">
        <f aca="false">AVERAGE(D12:W12)</f>
        <v>574.38</v>
      </c>
      <c r="Y12" s="7" t="n">
        <f aca="false">_xlfn.STDEV.S(D12:W12)</f>
        <v>12.2655100522606</v>
      </c>
      <c r="Z12" s="7" t="n">
        <f aca="false">Y12/X12</f>
        <v>0.0213543473872012</v>
      </c>
    </row>
    <row r="13" customFormat="false" ht="16.75" hidden="false" customHeight="false" outlineLevel="0" collapsed="false">
      <c r="B13" s="4"/>
      <c r="C13" s="5" t="n">
        <v>38</v>
      </c>
      <c r="D13" s="0" t="n">
        <v>587.2</v>
      </c>
      <c r="E13" s="0" t="n">
        <v>584.5</v>
      </c>
      <c r="F13" s="0" t="n">
        <v>586.1</v>
      </c>
      <c r="G13" s="0" t="n">
        <v>578.7</v>
      </c>
      <c r="H13" s="0" t="n">
        <v>600.2</v>
      </c>
      <c r="I13" s="0" t="n">
        <v>592.3</v>
      </c>
      <c r="J13" s="0" t="n">
        <v>597.6</v>
      </c>
      <c r="K13" s="0" t="n">
        <v>613.5</v>
      </c>
      <c r="L13" s="0" t="n">
        <v>599</v>
      </c>
      <c r="M13" s="0" t="n">
        <v>582.1</v>
      </c>
      <c r="N13" s="0" t="n">
        <v>584.3</v>
      </c>
      <c r="O13" s="0" t="n">
        <v>584.5</v>
      </c>
      <c r="P13" s="0" t="n">
        <v>603.7</v>
      </c>
      <c r="Q13" s="0" t="n">
        <v>575.1</v>
      </c>
      <c r="R13" s="0" t="n">
        <v>583.3</v>
      </c>
      <c r="S13" s="0" t="n">
        <v>591.1</v>
      </c>
      <c r="T13" s="0" t="n">
        <v>580.9</v>
      </c>
      <c r="U13" s="0" t="n">
        <v>589.8</v>
      </c>
      <c r="V13" s="0" t="n">
        <v>574.2</v>
      </c>
      <c r="W13" s="0" t="n">
        <v>583.7</v>
      </c>
      <c r="X13" s="6" t="n">
        <f aca="false">AVERAGE(D13:W13)</f>
        <v>588.59</v>
      </c>
      <c r="Y13" s="7" t="n">
        <f aca="false">_xlfn.STDEV.S(D13:W13)</f>
        <v>9.98603762101971</v>
      </c>
      <c r="Z13" s="7" t="n">
        <f aca="false">Y13/X13</f>
        <v>0.0169660334375707</v>
      </c>
    </row>
    <row r="14" customFormat="false" ht="16.75" hidden="false" customHeight="false" outlineLevel="0" collapsed="false">
      <c r="B14" s="4"/>
      <c r="C14" s="5" t="n">
        <v>50</v>
      </c>
      <c r="D14" s="0" t="n">
        <v>590.7</v>
      </c>
      <c r="E14" s="0" t="n">
        <v>587.6</v>
      </c>
      <c r="F14" s="0" t="n">
        <v>590.2</v>
      </c>
      <c r="G14" s="0" t="n">
        <v>592.7</v>
      </c>
      <c r="H14" s="0" t="n">
        <v>596.8</v>
      </c>
      <c r="I14" s="0" t="n">
        <v>575.2</v>
      </c>
      <c r="J14" s="0" t="n">
        <v>596.2</v>
      </c>
      <c r="K14" s="0" t="n">
        <v>590.1</v>
      </c>
      <c r="L14" s="0" t="n">
        <v>601</v>
      </c>
      <c r="M14" s="0" t="n">
        <v>598</v>
      </c>
      <c r="N14" s="0" t="n">
        <v>580.2</v>
      </c>
      <c r="O14" s="0" t="n">
        <v>595.4</v>
      </c>
      <c r="P14" s="0" t="n">
        <v>580.1</v>
      </c>
      <c r="Q14" s="0" t="n">
        <v>598.9</v>
      </c>
      <c r="R14" s="0" t="n">
        <v>586.8</v>
      </c>
      <c r="S14" s="0" t="n">
        <v>578.8</v>
      </c>
      <c r="T14" s="0" t="n">
        <v>614.1</v>
      </c>
      <c r="U14" s="0" t="n">
        <v>586.3</v>
      </c>
      <c r="V14" s="0" t="n">
        <v>590.6</v>
      </c>
      <c r="W14" s="0" t="n">
        <v>604.3</v>
      </c>
      <c r="X14" s="6" t="n">
        <f aca="false">AVERAGE(D14:W14)</f>
        <v>591.7</v>
      </c>
      <c r="Y14" s="7" t="n">
        <f aca="false">_xlfn.STDEV.S(D14:W14)</f>
        <v>9.40873054807691</v>
      </c>
      <c r="Z14" s="7" t="n">
        <f aca="false">Y14/X14</f>
        <v>0.0159011839582169</v>
      </c>
    </row>
    <row r="15" customFormat="false" ht="16.75" hidden="false" customHeight="false" outlineLevel="0" collapsed="false">
      <c r="B15" s="4"/>
      <c r="C15" s="5" t="n">
        <v>75</v>
      </c>
      <c r="D15" s="0" t="n">
        <v>618.6</v>
      </c>
      <c r="E15" s="0" t="n">
        <v>627.4</v>
      </c>
      <c r="F15" s="0" t="n">
        <v>606.7</v>
      </c>
      <c r="G15" s="0" t="n">
        <v>612.7</v>
      </c>
      <c r="H15" s="0" t="n">
        <v>603.9</v>
      </c>
      <c r="I15" s="0" t="n">
        <v>595.8</v>
      </c>
      <c r="J15" s="0" t="n">
        <v>617.7</v>
      </c>
      <c r="K15" s="0" t="n">
        <v>588.6</v>
      </c>
      <c r="L15" s="0" t="n">
        <v>627.2</v>
      </c>
      <c r="M15" s="0" t="n">
        <v>605.5</v>
      </c>
      <c r="N15" s="0" t="n">
        <v>630.6</v>
      </c>
      <c r="O15" s="0" t="n">
        <v>599.5</v>
      </c>
      <c r="P15" s="0" t="n">
        <v>594.5</v>
      </c>
      <c r="Q15" s="0" t="n">
        <v>602.2</v>
      </c>
      <c r="R15" s="0" t="n">
        <v>600.3</v>
      </c>
      <c r="S15" s="0" t="n">
        <v>610.9</v>
      </c>
      <c r="T15" s="0" t="n">
        <v>620.9</v>
      </c>
      <c r="U15" s="0" t="n">
        <v>606</v>
      </c>
      <c r="V15" s="0" t="n">
        <v>599.8</v>
      </c>
      <c r="W15" s="0" t="n">
        <v>622.9</v>
      </c>
      <c r="X15" s="6" t="n">
        <f aca="false">AVERAGE(D15:W15)</f>
        <v>609.585</v>
      </c>
      <c r="Y15" s="7" t="n">
        <f aca="false">_xlfn.STDEV.S(D15:W15)</f>
        <v>12.1384675613045</v>
      </c>
      <c r="Z15" s="7" t="n">
        <f aca="false">Y15/X15</f>
        <v>0.0199126742969472</v>
      </c>
    </row>
    <row r="16" customFormat="false" ht="16.75" hidden="false" customHeight="false" outlineLevel="0" collapsed="false">
      <c r="B16" s="4"/>
      <c r="C16" s="5" t="n">
        <v>100</v>
      </c>
      <c r="D16" s="0" t="n">
        <v>615</v>
      </c>
      <c r="E16" s="0" t="n">
        <v>601.4</v>
      </c>
      <c r="F16" s="0" t="n">
        <v>593.4</v>
      </c>
      <c r="G16" s="0" t="n">
        <v>614.6</v>
      </c>
      <c r="H16" s="0" t="n">
        <v>606.3</v>
      </c>
      <c r="I16" s="0" t="n">
        <v>611.9</v>
      </c>
      <c r="J16" s="0" t="n">
        <v>598.3</v>
      </c>
      <c r="K16" s="0" t="n">
        <v>612.3</v>
      </c>
      <c r="L16" s="0" t="n">
        <v>606.3</v>
      </c>
      <c r="M16" s="0" t="n">
        <v>618.8</v>
      </c>
      <c r="N16" s="0" t="n">
        <v>612.7</v>
      </c>
      <c r="O16" s="0" t="n">
        <v>604.5</v>
      </c>
      <c r="P16" s="0" t="n">
        <v>598.1</v>
      </c>
      <c r="Q16" s="0" t="n">
        <v>630.9</v>
      </c>
      <c r="R16" s="0" t="n">
        <v>625.2</v>
      </c>
      <c r="S16" s="0" t="n">
        <v>642.5</v>
      </c>
      <c r="T16" s="0" t="n">
        <v>605.6</v>
      </c>
      <c r="U16" s="0" t="n">
        <v>614.8</v>
      </c>
      <c r="V16" s="0" t="n">
        <v>616.5</v>
      </c>
      <c r="W16" s="0" t="n">
        <v>626.7</v>
      </c>
      <c r="X16" s="6" t="n">
        <f aca="false">AVERAGE(D16:W16)</f>
        <v>612.79</v>
      </c>
      <c r="Y16" s="7" t="n">
        <f aca="false">_xlfn.STDEV.S(D16:W16)</f>
        <v>12.0468340457697</v>
      </c>
      <c r="Z16" s="7" t="n">
        <f aca="false">Y16/X16</f>
        <v>0.019658992551722</v>
      </c>
    </row>
    <row r="17" customFormat="false" ht="16.75" hidden="false" customHeight="false" outlineLevel="0" collapsed="false">
      <c r="B17" s="4"/>
      <c r="C17" s="5" t="n">
        <v>150</v>
      </c>
      <c r="D17" s="0" t="n">
        <v>591.2</v>
      </c>
      <c r="E17" s="0" t="n">
        <v>601.8</v>
      </c>
      <c r="F17" s="0" t="n">
        <v>606.1</v>
      </c>
      <c r="G17" s="0" t="n">
        <v>570.7</v>
      </c>
      <c r="H17" s="0" t="n">
        <v>579.8</v>
      </c>
      <c r="I17" s="0" t="n">
        <v>611.1</v>
      </c>
      <c r="J17" s="0" t="n">
        <v>599.5</v>
      </c>
      <c r="K17" s="0" t="n">
        <v>584.8</v>
      </c>
      <c r="L17" s="0" t="n">
        <v>583.7</v>
      </c>
      <c r="M17" s="0" t="n">
        <v>582</v>
      </c>
      <c r="N17" s="0" t="n">
        <v>609.4</v>
      </c>
      <c r="O17" s="0" t="n">
        <v>615.7</v>
      </c>
      <c r="P17" s="0" t="n">
        <v>603.8</v>
      </c>
      <c r="Q17" s="0" t="n">
        <v>544.1</v>
      </c>
      <c r="R17" s="0" t="n">
        <v>622.9</v>
      </c>
      <c r="S17" s="0" t="n">
        <v>595.3</v>
      </c>
      <c r="T17" s="0" t="n">
        <v>581.3</v>
      </c>
      <c r="U17" s="0" t="n">
        <v>573</v>
      </c>
      <c r="V17" s="0" t="n">
        <v>556.8</v>
      </c>
      <c r="W17" s="0" t="n">
        <v>600.9</v>
      </c>
      <c r="X17" s="6" t="n">
        <f aca="false">AVERAGE(D17:W17)</f>
        <v>590.695</v>
      </c>
      <c r="Y17" s="7" t="n">
        <f aca="false">_xlfn.STDEV.S(D17:W17)</f>
        <v>19.9516382390282</v>
      </c>
      <c r="Z17" s="7" t="n">
        <f aca="false">Y17/X17</f>
        <v>0.0337765483693416</v>
      </c>
    </row>
    <row r="18" customFormat="false" ht="15" hidden="false" customHeight="true" outlineLevel="0" collapsed="false">
      <c r="A18" s="1" t="s">
        <v>32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644.5</v>
      </c>
      <c r="E23" s="0" t="n">
        <v>638.2</v>
      </c>
      <c r="F23" s="0" t="n">
        <v>644.7</v>
      </c>
      <c r="G23" s="0" t="n">
        <v>642.7</v>
      </c>
      <c r="H23" s="0" t="n">
        <v>646</v>
      </c>
      <c r="I23" s="0" t="n">
        <v>655.8</v>
      </c>
      <c r="J23" s="0" t="n">
        <v>642.6</v>
      </c>
      <c r="K23" s="0" t="n">
        <v>638.2</v>
      </c>
      <c r="L23" s="0" t="n">
        <v>643.9</v>
      </c>
      <c r="M23" s="0" t="n">
        <v>642.3</v>
      </c>
      <c r="N23" s="0" t="n">
        <v>642.5</v>
      </c>
      <c r="O23" s="0" t="n">
        <v>649.8</v>
      </c>
      <c r="P23" s="0" t="n">
        <v>654.8</v>
      </c>
      <c r="Q23" s="0" t="n">
        <v>648.4</v>
      </c>
      <c r="R23" s="0" t="n">
        <v>655.9</v>
      </c>
      <c r="S23" s="0" t="n">
        <v>644.6</v>
      </c>
      <c r="T23" s="0" t="n">
        <v>646.5</v>
      </c>
      <c r="U23" s="0" t="n">
        <v>654.8</v>
      </c>
      <c r="V23" s="0" t="n">
        <v>641.5</v>
      </c>
      <c r="W23" s="0" t="n">
        <v>653</v>
      </c>
      <c r="X23" s="6" t="n">
        <f aca="false">AVERAGE(D23:W23)</f>
        <v>646.535</v>
      </c>
      <c r="Y23" s="7" t="n">
        <f aca="false">_xlfn.STDEV.S(D23:W23)</f>
        <v>5.68138928524758</v>
      </c>
      <c r="Z23" s="7" t="n">
        <f aca="false">Y23/X23</f>
        <v>0.00878744272970154</v>
      </c>
    </row>
    <row r="24" customFormat="false" ht="16.75" hidden="false" customHeight="false" outlineLevel="0" collapsed="false">
      <c r="B24" s="4"/>
      <c r="C24" s="5" t="n">
        <v>25</v>
      </c>
      <c r="D24" s="0" t="n">
        <v>649.7</v>
      </c>
      <c r="E24" s="0" t="n">
        <v>649.4</v>
      </c>
      <c r="F24" s="0" t="n">
        <v>659.3</v>
      </c>
      <c r="G24" s="0" t="n">
        <v>653.1</v>
      </c>
      <c r="H24" s="0" t="n">
        <v>647.1</v>
      </c>
      <c r="I24" s="0" t="n">
        <v>654.9</v>
      </c>
      <c r="J24" s="0" t="n">
        <v>647.4</v>
      </c>
      <c r="K24" s="0" t="n">
        <v>647.6</v>
      </c>
      <c r="L24" s="0" t="n">
        <v>648.8</v>
      </c>
      <c r="M24" s="0" t="n">
        <v>655.7</v>
      </c>
      <c r="N24" s="0" t="n">
        <v>649.9</v>
      </c>
      <c r="O24" s="0" t="n">
        <v>653.4</v>
      </c>
      <c r="P24" s="0" t="n">
        <v>652.6</v>
      </c>
      <c r="Q24" s="0" t="n">
        <v>657.3</v>
      </c>
      <c r="R24" s="0" t="n">
        <v>649.1</v>
      </c>
      <c r="S24" s="0" t="n">
        <v>650.4</v>
      </c>
      <c r="T24" s="0" t="n">
        <v>649</v>
      </c>
      <c r="U24" s="0" t="n">
        <v>649.5</v>
      </c>
      <c r="V24" s="0" t="n">
        <v>645.9</v>
      </c>
      <c r="W24" s="0" t="n">
        <v>649.1</v>
      </c>
      <c r="X24" s="6" t="n">
        <f aca="false">AVERAGE(D24:W24)</f>
        <v>650.96</v>
      </c>
      <c r="Y24" s="7" t="n">
        <f aca="false">_xlfn.STDEV.S(D24:W24)</f>
        <v>3.61610433012043</v>
      </c>
      <c r="Z24" s="7" t="n">
        <f aca="false">Y24/X24</f>
        <v>0.00555503307441384</v>
      </c>
    </row>
    <row r="25" customFormat="false" ht="16.75" hidden="false" customHeight="false" outlineLevel="0" collapsed="false">
      <c r="B25" s="4"/>
      <c r="C25" s="5" t="n">
        <v>38</v>
      </c>
      <c r="D25" s="0" t="n">
        <v>657.6</v>
      </c>
      <c r="E25" s="0" t="n">
        <v>659.2</v>
      </c>
      <c r="F25" s="0" t="n">
        <v>663.2</v>
      </c>
      <c r="G25" s="0" t="n">
        <v>657.6</v>
      </c>
      <c r="H25" s="0" t="n">
        <v>664.3</v>
      </c>
      <c r="I25" s="0" t="n">
        <v>656.3</v>
      </c>
      <c r="J25" s="0" t="n">
        <v>667</v>
      </c>
      <c r="K25" s="0" t="n">
        <v>655.4</v>
      </c>
      <c r="L25" s="0" t="n">
        <v>655.2</v>
      </c>
      <c r="M25" s="0" t="n">
        <v>659.7</v>
      </c>
      <c r="N25" s="0" t="n">
        <v>651</v>
      </c>
      <c r="O25" s="0" t="n">
        <v>657</v>
      </c>
      <c r="P25" s="0" t="n">
        <v>656.4</v>
      </c>
      <c r="Q25" s="0" t="n">
        <v>666.1</v>
      </c>
      <c r="R25" s="0" t="n">
        <v>653.8</v>
      </c>
      <c r="S25" s="0" t="n">
        <v>658.3</v>
      </c>
      <c r="T25" s="0" t="n">
        <v>655.7</v>
      </c>
      <c r="U25" s="0" t="n">
        <v>661.3</v>
      </c>
      <c r="V25" s="0" t="n">
        <v>656.8</v>
      </c>
      <c r="W25" s="0" t="n">
        <v>668.6</v>
      </c>
      <c r="X25" s="6" t="n">
        <f aca="false">AVERAGE(D25:W25)</f>
        <v>659.025</v>
      </c>
      <c r="Y25" s="7" t="n">
        <f aca="false">_xlfn.STDEV.S(D25:W25)</f>
        <v>4.67207549957021</v>
      </c>
      <c r="Z25" s="7" t="n">
        <f aca="false">Y25/X25</f>
        <v>0.00708937521273125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620.4</v>
      </c>
      <c r="E26" s="0" t="n">
        <v>614.1</v>
      </c>
      <c r="F26" s="0" t="n">
        <v>601.9</v>
      </c>
      <c r="G26" s="0" t="n">
        <v>593.9</v>
      </c>
      <c r="H26" s="0" t="n">
        <v>617.9</v>
      </c>
      <c r="I26" s="0" t="n">
        <v>600.9</v>
      </c>
      <c r="J26" s="0" t="n">
        <v>617.6</v>
      </c>
      <c r="K26" s="0" t="n">
        <v>595.9</v>
      </c>
      <c r="L26" s="0" t="n">
        <v>608</v>
      </c>
      <c r="M26" s="0" t="n">
        <v>619.8</v>
      </c>
      <c r="N26" s="0" t="n">
        <v>625.4</v>
      </c>
      <c r="O26" s="0" t="n">
        <v>610.8</v>
      </c>
      <c r="P26" s="0" t="n">
        <v>598.8</v>
      </c>
      <c r="Q26" s="0" t="n">
        <v>599.5</v>
      </c>
      <c r="R26" s="0" t="n">
        <v>617.5</v>
      </c>
      <c r="S26" s="0" t="n">
        <v>626.9</v>
      </c>
      <c r="T26" s="0" t="n">
        <v>595.3</v>
      </c>
      <c r="U26" s="0" t="n">
        <v>610.4</v>
      </c>
      <c r="V26" s="0" t="n">
        <v>593.3</v>
      </c>
      <c r="W26" s="0" t="n">
        <v>597.1</v>
      </c>
      <c r="X26" s="6" t="n">
        <f aca="false">AVERAGE(D26:W26)</f>
        <v>608.27</v>
      </c>
      <c r="Y26" s="7" t="n">
        <f aca="false">_xlfn.STDEV.S(D26:W26)</f>
        <v>11.1654118174222</v>
      </c>
      <c r="Z26" s="7" t="n">
        <f aca="false">Y26/X26</f>
        <v>0.0183560126546143</v>
      </c>
    </row>
    <row r="27" customFormat="false" ht="16.75" hidden="false" customHeight="false" outlineLevel="0" collapsed="false">
      <c r="B27" s="4"/>
      <c r="C27" s="5" t="n">
        <v>63</v>
      </c>
      <c r="D27" s="0" t="n">
        <v>639.2</v>
      </c>
      <c r="E27" s="0" t="n">
        <v>645.1</v>
      </c>
      <c r="F27" s="0" t="n">
        <v>618.2</v>
      </c>
      <c r="G27" s="0" t="n">
        <v>639.4</v>
      </c>
      <c r="H27" s="0" t="n">
        <v>618.2</v>
      </c>
      <c r="I27" s="0" t="n">
        <v>620.3</v>
      </c>
      <c r="J27" s="0" t="n">
        <v>628.4</v>
      </c>
      <c r="K27" s="0" t="n">
        <v>644</v>
      </c>
      <c r="L27" s="0" t="n">
        <v>618.6</v>
      </c>
      <c r="M27" s="0" t="n">
        <v>644.1</v>
      </c>
      <c r="N27" s="0" t="n">
        <v>617.5</v>
      </c>
      <c r="O27" s="0" t="n">
        <v>626.7</v>
      </c>
      <c r="P27" s="0" t="n">
        <v>644.7</v>
      </c>
      <c r="Q27" s="0" t="n">
        <v>617.5</v>
      </c>
      <c r="R27" s="0" t="n">
        <v>630.8</v>
      </c>
      <c r="S27" s="0" t="n">
        <v>638.4</v>
      </c>
      <c r="T27" s="0" t="n">
        <v>622.2</v>
      </c>
      <c r="U27" s="0" t="n">
        <v>618.7</v>
      </c>
      <c r="V27" s="0" t="n">
        <v>624.2</v>
      </c>
      <c r="W27" s="0" t="n">
        <v>627.8</v>
      </c>
      <c r="X27" s="6" t="n">
        <f aca="false">AVERAGE(D27:W27)</f>
        <v>629.2</v>
      </c>
      <c r="Y27" s="7" t="n">
        <f aca="false">_xlfn.STDEV.S(D27:W27)</f>
        <v>10.5775332911939</v>
      </c>
      <c r="Z27" s="7" t="n">
        <f aca="false">Y27/X27</f>
        <v>0.0168110827895644</v>
      </c>
    </row>
    <row r="28" customFormat="false" ht="16.75" hidden="false" customHeight="false" outlineLevel="0" collapsed="false">
      <c r="B28" s="4"/>
      <c r="C28" s="5" t="n">
        <v>93</v>
      </c>
      <c r="D28" s="0" t="n">
        <v>633</v>
      </c>
      <c r="E28" s="0" t="n">
        <v>633.1</v>
      </c>
      <c r="F28" s="0" t="n">
        <v>638.8</v>
      </c>
      <c r="G28" s="0" t="n">
        <v>629.7</v>
      </c>
      <c r="H28" s="0" t="n">
        <v>630.8</v>
      </c>
      <c r="I28" s="0" t="n">
        <v>638</v>
      </c>
      <c r="J28" s="0" t="n">
        <v>641.8</v>
      </c>
      <c r="K28" s="0" t="n">
        <v>630.8</v>
      </c>
      <c r="L28" s="0" t="n">
        <v>638.9</v>
      </c>
      <c r="M28" s="0" t="n">
        <v>632</v>
      </c>
      <c r="N28" s="0" t="n">
        <v>646.9</v>
      </c>
      <c r="O28" s="0" t="n">
        <v>628.5</v>
      </c>
      <c r="P28" s="0" t="n">
        <v>642.1</v>
      </c>
      <c r="Q28" s="0" t="n">
        <v>638.6</v>
      </c>
      <c r="R28" s="0" t="n">
        <v>626.7</v>
      </c>
      <c r="S28" s="0" t="n">
        <v>630.1</v>
      </c>
      <c r="T28" s="0" t="n">
        <v>641.4</v>
      </c>
      <c r="U28" s="0" t="n">
        <v>630</v>
      </c>
      <c r="V28" s="0" t="n">
        <v>629.5</v>
      </c>
      <c r="W28" s="0" t="n">
        <v>644.9</v>
      </c>
      <c r="X28" s="6" t="n">
        <f aca="false">AVERAGE(D28:W28)</f>
        <v>635.28</v>
      </c>
      <c r="Y28" s="7" t="n">
        <f aca="false">_xlfn.STDEV.S(D28:W28)</f>
        <v>6.05958136473052</v>
      </c>
      <c r="Z28" s="7" t="n">
        <f aca="false">Y28/X28</f>
        <v>0.00953844189134006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550.5</v>
      </c>
      <c r="E29" s="0" t="n">
        <v>577.3</v>
      </c>
      <c r="F29" s="0" t="n">
        <v>552.2</v>
      </c>
      <c r="G29" s="0" t="n">
        <v>550.8</v>
      </c>
      <c r="H29" s="0" t="n">
        <v>544.6</v>
      </c>
      <c r="I29" s="0" t="n">
        <v>547.8</v>
      </c>
      <c r="J29" s="0" t="n">
        <v>539</v>
      </c>
      <c r="K29" s="0" t="n">
        <v>549.9</v>
      </c>
      <c r="L29" s="0" t="n">
        <v>537.8</v>
      </c>
      <c r="M29" s="0" t="n">
        <v>568</v>
      </c>
      <c r="N29" s="0" t="n">
        <v>532.4</v>
      </c>
      <c r="O29" s="0" t="n">
        <v>548.1</v>
      </c>
      <c r="P29" s="0" t="n">
        <v>540.1</v>
      </c>
      <c r="Q29" s="0" t="n">
        <v>540.1</v>
      </c>
      <c r="R29" s="0" t="n">
        <v>539.8</v>
      </c>
      <c r="S29" s="0" t="n">
        <v>551.7</v>
      </c>
      <c r="T29" s="0" t="n">
        <v>537.8</v>
      </c>
      <c r="U29" s="0" t="n">
        <v>540.1</v>
      </c>
      <c r="V29" s="0" t="n">
        <v>556.4</v>
      </c>
      <c r="W29" s="0" t="n">
        <v>556.1</v>
      </c>
      <c r="X29" s="6" t="n">
        <f aca="false">AVERAGE(D29:W29)</f>
        <v>548.025</v>
      </c>
      <c r="Y29" s="7" t="n">
        <f aca="false">_xlfn.STDEV.S(D29:W29)</f>
        <v>10.8632589372086</v>
      </c>
      <c r="Z29" s="7" t="n">
        <f aca="false">Y29/X29</f>
        <v>0.0198225608999746</v>
      </c>
    </row>
    <row r="30" customFormat="false" ht="16.75" hidden="false" customHeight="false" outlineLevel="0" collapsed="false">
      <c r="B30" s="4"/>
      <c r="C30" s="5" t="n">
        <v>38</v>
      </c>
      <c r="D30" s="0" t="n">
        <v>556.5</v>
      </c>
      <c r="E30" s="0" t="n">
        <v>560.7</v>
      </c>
      <c r="F30" s="0" t="n">
        <v>556.4</v>
      </c>
      <c r="G30" s="0" t="n">
        <v>577.6</v>
      </c>
      <c r="H30" s="0" t="n">
        <v>574.4</v>
      </c>
      <c r="I30" s="0" t="n">
        <v>566.1</v>
      </c>
      <c r="J30" s="0" t="n">
        <v>570.8</v>
      </c>
      <c r="K30" s="0" t="n">
        <v>553.9</v>
      </c>
      <c r="L30" s="0" t="n">
        <v>553.9</v>
      </c>
      <c r="M30" s="0" t="n">
        <v>566.2</v>
      </c>
      <c r="N30" s="0" t="n">
        <v>554.3</v>
      </c>
      <c r="O30" s="0" t="n">
        <v>561.6</v>
      </c>
      <c r="P30" s="0" t="n">
        <v>545.4</v>
      </c>
      <c r="Q30" s="0" t="n">
        <v>575</v>
      </c>
      <c r="R30" s="0" t="n">
        <v>565</v>
      </c>
      <c r="S30" s="0" t="n">
        <v>589.6</v>
      </c>
      <c r="T30" s="0" t="n">
        <v>564.8</v>
      </c>
      <c r="U30" s="0" t="n">
        <v>556.9</v>
      </c>
      <c r="V30" s="0" t="n">
        <v>544.5</v>
      </c>
      <c r="W30" s="0" t="n">
        <v>568.8</v>
      </c>
      <c r="X30" s="6" t="n">
        <f aca="false">AVERAGE(D30:W30)</f>
        <v>563.12</v>
      </c>
      <c r="Y30" s="7" t="n">
        <f aca="false">_xlfn.STDEV.S(D30:W30)</f>
        <v>11.0965902776246</v>
      </c>
      <c r="Z30" s="7" t="n">
        <f aca="false">Y30/X30</f>
        <v>0.0197055517076727</v>
      </c>
    </row>
    <row r="31" customFormat="false" ht="16.75" hidden="false" customHeight="false" outlineLevel="0" collapsed="false">
      <c r="B31" s="4"/>
      <c r="C31" s="5" t="n">
        <v>50</v>
      </c>
      <c r="D31" s="0" t="n">
        <v>559.3</v>
      </c>
      <c r="E31" s="0" t="n">
        <v>563.3</v>
      </c>
      <c r="F31" s="0" t="n">
        <v>566.8</v>
      </c>
      <c r="G31" s="0" t="n">
        <v>569.7</v>
      </c>
      <c r="H31" s="0" t="n">
        <v>554.4</v>
      </c>
      <c r="I31" s="0" t="n">
        <v>577.1</v>
      </c>
      <c r="J31" s="0" t="n">
        <v>560.8</v>
      </c>
      <c r="K31" s="0" t="n">
        <v>570.8</v>
      </c>
      <c r="L31" s="0" t="n">
        <v>565.9</v>
      </c>
      <c r="M31" s="0" t="n">
        <v>577.3</v>
      </c>
      <c r="N31" s="0" t="n">
        <v>563.1</v>
      </c>
      <c r="O31" s="0" t="n">
        <v>552.8</v>
      </c>
      <c r="P31" s="0" t="n">
        <v>567.3</v>
      </c>
      <c r="Q31" s="0" t="n">
        <v>548</v>
      </c>
      <c r="R31" s="0" t="n">
        <v>572.5</v>
      </c>
      <c r="S31" s="0" t="n">
        <v>556.8</v>
      </c>
      <c r="T31" s="0" t="n">
        <v>575.3</v>
      </c>
      <c r="U31" s="0" t="n">
        <v>559.5</v>
      </c>
      <c r="V31" s="0" t="n">
        <v>579.7</v>
      </c>
      <c r="W31" s="0" t="n">
        <v>566.8</v>
      </c>
      <c r="X31" s="6" t="n">
        <f aca="false">AVERAGE(D31:W31)</f>
        <v>565.36</v>
      </c>
      <c r="Y31" s="7" t="n">
        <f aca="false">_xlfn.STDEV.S(D31:W31)</f>
        <v>8.72433981818441</v>
      </c>
      <c r="Z31" s="7" t="n">
        <f aca="false">Y31/X31</f>
        <v>0.0154314769672145</v>
      </c>
    </row>
    <row r="32" customFormat="false" ht="16.75" hidden="false" customHeight="false" outlineLevel="0" collapsed="false">
      <c r="B32" s="4"/>
      <c r="C32" s="5" t="n">
        <v>75</v>
      </c>
      <c r="D32" s="0" t="n">
        <v>559.5</v>
      </c>
      <c r="E32" s="0" t="n">
        <v>560.1</v>
      </c>
      <c r="F32" s="0" t="n">
        <v>560.3</v>
      </c>
      <c r="G32" s="0" t="n">
        <v>576.3</v>
      </c>
      <c r="H32" s="0" t="n">
        <v>574.1</v>
      </c>
      <c r="I32" s="0" t="n">
        <v>567.9</v>
      </c>
      <c r="J32" s="0" t="n">
        <v>590.4</v>
      </c>
      <c r="K32" s="0" t="n">
        <v>564</v>
      </c>
      <c r="L32" s="0" t="n">
        <v>588.5</v>
      </c>
      <c r="M32" s="0" t="n">
        <v>577.3</v>
      </c>
      <c r="N32" s="0" t="n">
        <v>582.9</v>
      </c>
      <c r="O32" s="0" t="n">
        <v>567.6</v>
      </c>
      <c r="P32" s="0" t="n">
        <v>566.8</v>
      </c>
      <c r="Q32" s="0" t="n">
        <v>570.2</v>
      </c>
      <c r="R32" s="0" t="n">
        <v>562.1</v>
      </c>
      <c r="S32" s="0" t="n">
        <v>577.6</v>
      </c>
      <c r="T32" s="0" t="n">
        <v>563.9</v>
      </c>
      <c r="U32" s="0" t="n">
        <v>568.5</v>
      </c>
      <c r="V32" s="0" t="n">
        <v>585.5</v>
      </c>
      <c r="W32" s="0" t="n">
        <v>575.5</v>
      </c>
      <c r="X32" s="6" t="n">
        <f aca="false">AVERAGE(D32:W32)</f>
        <v>571.95</v>
      </c>
      <c r="Y32" s="7" t="n">
        <f aca="false">_xlfn.STDEV.S(D32:W32)</f>
        <v>9.59026370308642</v>
      </c>
      <c r="Z32" s="7" t="n">
        <f aca="false">Y32/X32</f>
        <v>0.0167676609897481</v>
      </c>
    </row>
    <row r="33" customFormat="false" ht="16.75" hidden="false" customHeight="false" outlineLevel="0" collapsed="false">
      <c r="B33" s="4"/>
      <c r="C33" s="5" t="n">
        <v>100</v>
      </c>
      <c r="D33" s="0" t="n">
        <v>592.5</v>
      </c>
      <c r="E33" s="0" t="n">
        <v>590.4</v>
      </c>
      <c r="F33" s="0" t="n">
        <v>577.9</v>
      </c>
      <c r="G33" s="0" t="n">
        <v>576.1</v>
      </c>
      <c r="H33" s="0" t="n">
        <v>574.9</v>
      </c>
      <c r="I33" s="0" t="n">
        <v>605.9</v>
      </c>
      <c r="J33" s="0" t="n">
        <v>570.8</v>
      </c>
      <c r="K33" s="0" t="n">
        <v>569.7</v>
      </c>
      <c r="L33" s="0" t="n">
        <v>571</v>
      </c>
      <c r="M33" s="0" t="n">
        <v>574.2</v>
      </c>
      <c r="N33" s="0" t="n">
        <v>572.1</v>
      </c>
      <c r="O33" s="0" t="n">
        <v>577.2</v>
      </c>
      <c r="P33" s="0" t="n">
        <v>574.9</v>
      </c>
      <c r="Q33" s="0" t="n">
        <v>573.6</v>
      </c>
      <c r="R33" s="0" t="n">
        <v>586.1</v>
      </c>
      <c r="S33" s="0" t="n">
        <v>588.7</v>
      </c>
      <c r="T33" s="0" t="n">
        <v>582.7</v>
      </c>
      <c r="U33" s="0" t="n">
        <v>593.4</v>
      </c>
      <c r="V33" s="0" t="n">
        <v>580.7</v>
      </c>
      <c r="W33" s="0" t="n">
        <v>571.4</v>
      </c>
      <c r="X33" s="6" t="n">
        <f aca="false">AVERAGE(D33:W33)</f>
        <v>580.21</v>
      </c>
      <c r="Y33" s="7" t="n">
        <f aca="false">_xlfn.STDEV.S(D33:W33)</f>
        <v>9.72451595331694</v>
      </c>
      <c r="Z33" s="7" t="n">
        <f aca="false">Y33/X33</f>
        <v>0.0167603384176711</v>
      </c>
    </row>
    <row r="34" customFormat="false" ht="16.75" hidden="false" customHeight="false" outlineLevel="0" collapsed="false">
      <c r="B34" s="4"/>
      <c r="C34" s="5" t="n">
        <v>150</v>
      </c>
      <c r="D34" s="0" t="n">
        <v>612.5</v>
      </c>
      <c r="E34" s="0" t="n">
        <v>580.4</v>
      </c>
      <c r="F34" s="0" t="n">
        <v>613.9</v>
      </c>
      <c r="G34" s="0" t="n">
        <v>610.1</v>
      </c>
      <c r="H34" s="0" t="n">
        <v>606.7</v>
      </c>
      <c r="I34" s="0" t="n">
        <v>600.9</v>
      </c>
      <c r="J34" s="0" t="n">
        <v>600.6</v>
      </c>
      <c r="K34" s="0" t="n">
        <v>599.5</v>
      </c>
      <c r="L34" s="0" t="n">
        <v>597.5</v>
      </c>
      <c r="M34" s="0" t="n">
        <v>596.6</v>
      </c>
      <c r="N34" s="0" t="n">
        <v>591</v>
      </c>
      <c r="O34" s="0" t="n">
        <v>597.9</v>
      </c>
      <c r="P34" s="0" t="n">
        <v>610.8</v>
      </c>
      <c r="Q34" s="0" t="n">
        <v>605.9</v>
      </c>
      <c r="R34" s="0" t="n">
        <v>607.2</v>
      </c>
      <c r="S34" s="0" t="n">
        <v>586.3</v>
      </c>
      <c r="T34" s="0" t="n">
        <v>613.2</v>
      </c>
      <c r="U34" s="0" t="n">
        <v>609.6</v>
      </c>
      <c r="V34" s="0" t="n">
        <v>585.6</v>
      </c>
      <c r="W34" s="0" t="n">
        <v>595</v>
      </c>
      <c r="X34" s="6" t="n">
        <f aca="false">AVERAGE(D34:W34)</f>
        <v>601.06</v>
      </c>
      <c r="Y34" s="7" t="n">
        <f aca="false">_xlfn.STDEV.S(D34:W34)</f>
        <v>9.8740169397422</v>
      </c>
      <c r="Z34" s="7" t="n">
        <f aca="false">Y34/X34</f>
        <v>0.0164276726778395</v>
      </c>
    </row>
    <row r="35" customFormat="false" ht="15" hidden="false" customHeight="true" outlineLevel="0" collapsed="false">
      <c r="A35" s="1" t="s">
        <v>32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638.1</v>
      </c>
      <c r="E40" s="0" t="n">
        <v>638.8</v>
      </c>
      <c r="F40" s="0" t="n">
        <v>648</v>
      </c>
      <c r="G40" s="0" t="n">
        <v>648.6</v>
      </c>
      <c r="H40" s="0" t="n">
        <v>639.8</v>
      </c>
      <c r="I40" s="0" t="n">
        <v>640.9</v>
      </c>
      <c r="J40" s="0" t="n">
        <v>652.7</v>
      </c>
      <c r="K40" s="0" t="n">
        <v>640.6</v>
      </c>
      <c r="L40" s="0" t="n">
        <v>641.2</v>
      </c>
      <c r="M40" s="0" t="n">
        <v>640.3</v>
      </c>
      <c r="N40" s="0" t="n">
        <v>637.4</v>
      </c>
      <c r="O40" s="0" t="n">
        <v>639.2</v>
      </c>
      <c r="P40" s="0" t="n">
        <v>637.8</v>
      </c>
      <c r="Q40" s="0" t="n">
        <v>650.5</v>
      </c>
      <c r="R40" s="0" t="n">
        <v>637.2</v>
      </c>
      <c r="S40" s="0" t="n">
        <v>652.4</v>
      </c>
      <c r="T40" s="0" t="n">
        <v>637.8</v>
      </c>
      <c r="U40" s="0" t="n">
        <v>647.4</v>
      </c>
      <c r="V40" s="0" t="n">
        <v>651.1</v>
      </c>
      <c r="W40" s="0" t="n">
        <v>636</v>
      </c>
      <c r="X40" s="6" t="n">
        <f aca="false">AVERAGE(D40:W40)</f>
        <v>642.79</v>
      </c>
      <c r="Y40" s="7" t="n">
        <f aca="false">_xlfn.STDEV.S(D40:W40)</f>
        <v>5.77771581163353</v>
      </c>
      <c r="Z40" s="7" t="n">
        <f aca="false">Y40/X40</f>
        <v>0.00898849672775483</v>
      </c>
    </row>
    <row r="41" customFormat="false" ht="16.75" hidden="false" customHeight="false" outlineLevel="0" collapsed="false">
      <c r="B41" s="4"/>
      <c r="C41" s="5" t="n">
        <v>25</v>
      </c>
      <c r="D41" s="0" t="n">
        <v>642.1</v>
      </c>
      <c r="E41" s="0" t="n">
        <v>645.2</v>
      </c>
      <c r="F41" s="0" t="n">
        <v>647.9</v>
      </c>
      <c r="G41" s="0" t="n">
        <v>641.6</v>
      </c>
      <c r="H41" s="0" t="n">
        <v>636.7</v>
      </c>
      <c r="I41" s="0" t="n">
        <v>647.6</v>
      </c>
      <c r="J41" s="0" t="n">
        <v>638.2</v>
      </c>
      <c r="K41" s="0" t="n">
        <v>642.5</v>
      </c>
      <c r="L41" s="0" t="n">
        <v>655.5</v>
      </c>
      <c r="M41" s="0" t="n">
        <v>655</v>
      </c>
      <c r="N41" s="0" t="n">
        <v>653.95</v>
      </c>
      <c r="O41" s="0" t="n">
        <v>635.4</v>
      </c>
      <c r="P41" s="0" t="n">
        <v>642.1</v>
      </c>
      <c r="Q41" s="0" t="n">
        <v>642.7</v>
      </c>
      <c r="R41" s="0" t="n">
        <v>654.8</v>
      </c>
      <c r="S41" s="0" t="n">
        <v>656.2</v>
      </c>
      <c r="T41" s="0" t="n">
        <v>645</v>
      </c>
      <c r="U41" s="0" t="n">
        <v>657.6</v>
      </c>
      <c r="V41" s="0" t="n">
        <v>649.4</v>
      </c>
      <c r="W41" s="0" t="n">
        <v>657.7</v>
      </c>
      <c r="X41" s="6" t="n">
        <f aca="false">AVERAGE(D41:W41)</f>
        <v>647.3575</v>
      </c>
      <c r="Y41" s="7" t="n">
        <f aca="false">_xlfn.STDEV.S(D41:W41)</f>
        <v>7.26384838918411</v>
      </c>
      <c r="Z41" s="7" t="n">
        <f aca="false">Y41/X41</f>
        <v>0.0112207681060065</v>
      </c>
    </row>
    <row r="42" customFormat="false" ht="16.75" hidden="false" customHeight="false" outlineLevel="0" collapsed="false">
      <c r="B42" s="4"/>
      <c r="C42" s="5" t="n">
        <v>38</v>
      </c>
      <c r="D42" s="0" t="n">
        <v>657.2</v>
      </c>
      <c r="E42" s="0" t="n">
        <v>646.1</v>
      </c>
      <c r="F42" s="0" t="n">
        <v>646.1</v>
      </c>
      <c r="G42" s="0" t="n">
        <v>644.4</v>
      </c>
      <c r="H42" s="0" t="n">
        <v>647.5</v>
      </c>
      <c r="I42" s="0" t="n">
        <v>639.5</v>
      </c>
      <c r="J42" s="0" t="n">
        <v>647.4</v>
      </c>
      <c r="K42" s="0" t="n">
        <v>646.7</v>
      </c>
      <c r="L42" s="0" t="n">
        <v>651.5</v>
      </c>
      <c r="M42" s="0" t="n">
        <v>644.7</v>
      </c>
      <c r="N42" s="0" t="n">
        <v>641.5</v>
      </c>
      <c r="O42" s="0" t="n">
        <v>654.8</v>
      </c>
      <c r="P42" s="0" t="n">
        <v>648.2</v>
      </c>
      <c r="Q42" s="0" t="n">
        <v>646.2</v>
      </c>
      <c r="R42" s="0" t="n">
        <v>645.6</v>
      </c>
      <c r="S42" s="0" t="n">
        <v>643.8</v>
      </c>
      <c r="T42" s="0" t="n">
        <v>661.9</v>
      </c>
      <c r="U42" s="0" t="n">
        <v>645.7</v>
      </c>
      <c r="V42" s="0" t="n">
        <v>645.3</v>
      </c>
      <c r="W42" s="0" t="n">
        <v>649.4</v>
      </c>
      <c r="X42" s="6" t="n">
        <f aca="false">AVERAGE(D42:W42)</f>
        <v>647.675</v>
      </c>
      <c r="Y42" s="7" t="n">
        <f aca="false">_xlfn.STDEV.S(D42:W42)</f>
        <v>5.24814503570447</v>
      </c>
      <c r="Z42" s="7" t="n">
        <f aca="false">Y42/X42</f>
        <v>0.0081030532839842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629.3</v>
      </c>
      <c r="E43" s="0" t="n">
        <v>605.4</v>
      </c>
      <c r="F43" s="0" t="n">
        <v>613.6</v>
      </c>
      <c r="G43" s="0" t="n">
        <v>601.8</v>
      </c>
      <c r="H43" s="0" t="n">
        <v>609.4</v>
      </c>
      <c r="I43" s="0" t="n">
        <v>610.3</v>
      </c>
      <c r="J43" s="0" t="n">
        <v>634.5</v>
      </c>
      <c r="K43" s="0" t="n">
        <v>594.4</v>
      </c>
      <c r="L43" s="0" t="n">
        <v>610.5</v>
      </c>
      <c r="M43" s="0" t="n">
        <v>595.5</v>
      </c>
      <c r="N43" s="0" t="n">
        <v>611</v>
      </c>
      <c r="O43" s="0" t="n">
        <v>613.6</v>
      </c>
      <c r="P43" s="0" t="n">
        <v>605.4</v>
      </c>
      <c r="Q43" s="0" t="n">
        <v>614</v>
      </c>
      <c r="R43" s="0" t="n">
        <v>630.7</v>
      </c>
      <c r="S43" s="0" t="n">
        <v>595.3</v>
      </c>
      <c r="T43" s="0" t="n">
        <v>617.3</v>
      </c>
      <c r="U43" s="0" t="n">
        <v>597.5</v>
      </c>
      <c r="V43" s="0" t="n">
        <v>600.6</v>
      </c>
      <c r="W43" s="0" t="n">
        <v>604.9</v>
      </c>
      <c r="X43" s="6" t="n">
        <f aca="false">AVERAGE(D43:W43)</f>
        <v>609.75</v>
      </c>
      <c r="Y43" s="7" t="n">
        <f aca="false">_xlfn.STDEV.S(D43:W43)</f>
        <v>11.5775872406901</v>
      </c>
      <c r="Z43" s="7" t="n">
        <f aca="false">Y43/X43</f>
        <v>0.0189874329490612</v>
      </c>
    </row>
    <row r="44" customFormat="false" ht="16.75" hidden="false" customHeight="false" outlineLevel="0" collapsed="false">
      <c r="B44" s="4"/>
      <c r="C44" s="5" t="n">
        <v>63</v>
      </c>
      <c r="D44" s="0" t="n">
        <v>634.5</v>
      </c>
      <c r="E44" s="0" t="n">
        <v>617</v>
      </c>
      <c r="F44" s="0" t="n">
        <v>633</v>
      </c>
      <c r="G44" s="0" t="n">
        <v>625.3</v>
      </c>
      <c r="H44" s="0" t="n">
        <v>623.8</v>
      </c>
      <c r="I44" s="0" t="n">
        <v>620.2</v>
      </c>
      <c r="J44" s="0" t="n">
        <v>634.2</v>
      </c>
      <c r="K44" s="0" t="n">
        <v>623.3</v>
      </c>
      <c r="L44" s="0" t="n">
        <v>621.7</v>
      </c>
      <c r="M44" s="0" t="n">
        <v>630.1</v>
      </c>
      <c r="N44" s="0" t="n">
        <v>632.4</v>
      </c>
      <c r="O44" s="0" t="n">
        <v>633.6</v>
      </c>
      <c r="P44" s="0" t="n">
        <v>614.3</v>
      </c>
      <c r="Q44" s="0" t="n">
        <v>632.8</v>
      </c>
      <c r="R44" s="0" t="n">
        <v>623.4</v>
      </c>
      <c r="S44" s="0" t="n">
        <v>637.2</v>
      </c>
      <c r="T44" s="0" t="n">
        <v>619.9</v>
      </c>
      <c r="U44" s="0" t="n">
        <v>612.8</v>
      </c>
      <c r="V44" s="0" t="n">
        <v>634.8</v>
      </c>
      <c r="W44" s="0" t="n">
        <v>647.8</v>
      </c>
      <c r="X44" s="6" t="n">
        <f aca="false">AVERAGE(D44:W44)</f>
        <v>627.605</v>
      </c>
      <c r="Y44" s="7" t="n">
        <f aca="false">_xlfn.STDEV.S(D44:W44)</f>
        <v>8.81896729841575</v>
      </c>
      <c r="Z44" s="7" t="n">
        <f aca="false">Y44/X44</f>
        <v>0.0140517798590128</v>
      </c>
    </row>
    <row r="45" customFormat="false" ht="16.75" hidden="false" customHeight="false" outlineLevel="0" collapsed="false">
      <c r="B45" s="4"/>
      <c r="C45" s="5" t="n">
        <v>93</v>
      </c>
      <c r="D45" s="0" t="n">
        <v>641.3</v>
      </c>
      <c r="E45" s="0" t="n">
        <v>635</v>
      </c>
      <c r="F45" s="0" t="n">
        <v>637.8</v>
      </c>
      <c r="G45" s="0" t="n">
        <v>646.2</v>
      </c>
      <c r="H45" s="0" t="n">
        <v>654</v>
      </c>
      <c r="I45" s="0" t="n">
        <v>640.1</v>
      </c>
      <c r="J45" s="0" t="n">
        <v>638.8</v>
      </c>
      <c r="K45" s="0" t="n">
        <v>652.9</v>
      </c>
      <c r="L45" s="0" t="n">
        <v>636.6</v>
      </c>
      <c r="M45" s="0" t="n">
        <v>645.8</v>
      </c>
      <c r="N45" s="0" t="n">
        <v>639</v>
      </c>
      <c r="O45" s="0" t="n">
        <v>645.2</v>
      </c>
      <c r="P45" s="0" t="n">
        <v>644.5</v>
      </c>
      <c r="Q45" s="0" t="n">
        <v>649.3</v>
      </c>
      <c r="R45" s="0" t="n">
        <v>643.3</v>
      </c>
      <c r="S45" s="0" t="n">
        <v>655.7</v>
      </c>
      <c r="T45" s="0" t="n">
        <v>649.3</v>
      </c>
      <c r="U45" s="0" t="n">
        <v>644.6</v>
      </c>
      <c r="V45" s="0" t="n">
        <v>637.1</v>
      </c>
      <c r="W45" s="0" t="n">
        <v>654.4</v>
      </c>
      <c r="X45" s="6" t="n">
        <f aca="false">AVERAGE(D45:W45)</f>
        <v>644.545</v>
      </c>
      <c r="Y45" s="7" t="n">
        <f aca="false">_xlfn.STDEV.S(D45:W45)</f>
        <v>6.41326544626141</v>
      </c>
      <c r="Z45" s="7" t="n">
        <f aca="false">Y45/X45</f>
        <v>0.00995006624248331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545.6</v>
      </c>
      <c r="E46" s="0" t="n">
        <v>548.5</v>
      </c>
      <c r="F46" s="0" t="n">
        <v>553.8</v>
      </c>
      <c r="G46" s="0" t="n">
        <v>557.4</v>
      </c>
      <c r="H46" s="0" t="n">
        <v>530.8</v>
      </c>
      <c r="I46" s="0" t="n">
        <v>526.7</v>
      </c>
      <c r="J46" s="0" t="n">
        <v>549.1</v>
      </c>
      <c r="K46" s="0" t="n">
        <v>551.3</v>
      </c>
      <c r="L46" s="0" t="n">
        <v>543</v>
      </c>
      <c r="M46" s="0" t="n">
        <v>561.2</v>
      </c>
      <c r="N46" s="0" t="n">
        <v>532.1</v>
      </c>
      <c r="O46" s="0" t="n">
        <v>531.7</v>
      </c>
      <c r="P46" s="0" t="n">
        <v>556.4</v>
      </c>
      <c r="Q46" s="0" t="n">
        <v>562.9</v>
      </c>
      <c r="R46" s="0" t="n">
        <v>522</v>
      </c>
      <c r="S46" s="0" t="n">
        <v>553.7</v>
      </c>
      <c r="T46" s="0" t="n">
        <v>558.3</v>
      </c>
      <c r="U46" s="0" t="n">
        <v>554.9</v>
      </c>
      <c r="V46" s="0" t="n">
        <v>533.1</v>
      </c>
      <c r="W46" s="0" t="n">
        <v>552.9</v>
      </c>
      <c r="X46" s="6" t="n">
        <f aca="false">AVERAGE(D46:W46)</f>
        <v>546.27</v>
      </c>
      <c r="Y46" s="7" t="n">
        <f aca="false">_xlfn.STDEV.S(D46:W46)</f>
        <v>12.456877195898</v>
      </c>
      <c r="Z46" s="7" t="n">
        <f aca="false">Y46/X46</f>
        <v>0.0228035169346624</v>
      </c>
    </row>
    <row r="47" customFormat="false" ht="16.75" hidden="false" customHeight="false" outlineLevel="0" collapsed="false">
      <c r="B47" s="4"/>
      <c r="C47" s="5" t="n">
        <v>38</v>
      </c>
      <c r="D47" s="0" t="n">
        <v>563.5</v>
      </c>
      <c r="E47" s="0" t="n">
        <v>559.1</v>
      </c>
      <c r="F47" s="0" t="n">
        <v>585.4</v>
      </c>
      <c r="G47" s="0" t="n">
        <v>565.4</v>
      </c>
      <c r="H47" s="0" t="n">
        <v>575.6</v>
      </c>
      <c r="I47" s="0" t="n">
        <v>567.9</v>
      </c>
      <c r="J47" s="0" t="n">
        <v>583.4</v>
      </c>
      <c r="K47" s="0" t="n">
        <v>569</v>
      </c>
      <c r="L47" s="0" t="n">
        <v>565</v>
      </c>
      <c r="M47" s="0" t="n">
        <v>552.5</v>
      </c>
      <c r="N47" s="0" t="n">
        <v>572.7</v>
      </c>
      <c r="O47" s="0" t="n">
        <v>573.7</v>
      </c>
      <c r="P47" s="0" t="n">
        <v>554.6</v>
      </c>
      <c r="Q47" s="0" t="n">
        <v>562.1</v>
      </c>
      <c r="R47" s="0" t="n">
        <v>586.1</v>
      </c>
      <c r="S47" s="0" t="n">
        <v>581.9</v>
      </c>
      <c r="T47" s="0" t="n">
        <v>558.9</v>
      </c>
      <c r="U47" s="0" t="n">
        <v>587.8</v>
      </c>
      <c r="V47" s="0" t="n">
        <v>587.7</v>
      </c>
      <c r="W47" s="0" t="n">
        <v>584.7</v>
      </c>
      <c r="X47" s="6" t="n">
        <f aca="false">AVERAGE(D47:W47)</f>
        <v>571.85</v>
      </c>
      <c r="Y47" s="7" t="n">
        <f aca="false">_xlfn.STDEV.S(D47:W47)</f>
        <v>11.6738799755784</v>
      </c>
      <c r="Z47" s="7" t="n">
        <f aca="false">Y47/X47</f>
        <v>0.0204142344593484</v>
      </c>
    </row>
    <row r="48" customFormat="false" ht="16.75" hidden="false" customHeight="false" outlineLevel="0" collapsed="false">
      <c r="B48" s="4"/>
      <c r="C48" s="5" t="n">
        <v>50</v>
      </c>
      <c r="D48" s="0" t="n">
        <v>574.8</v>
      </c>
      <c r="E48" s="0" t="n">
        <v>568.3</v>
      </c>
      <c r="F48" s="0" t="n">
        <v>563.3</v>
      </c>
      <c r="G48" s="0" t="n">
        <v>566.7</v>
      </c>
      <c r="H48" s="0" t="n">
        <v>565</v>
      </c>
      <c r="I48" s="0" t="n">
        <v>555.9</v>
      </c>
      <c r="J48" s="0" t="n">
        <v>565.6</v>
      </c>
      <c r="K48" s="0" t="n">
        <v>599.3</v>
      </c>
      <c r="L48" s="0" t="n">
        <v>580.6</v>
      </c>
      <c r="M48" s="0" t="n">
        <v>572.1</v>
      </c>
      <c r="N48" s="0" t="n">
        <v>583.3</v>
      </c>
      <c r="O48" s="0" t="n">
        <v>564.6</v>
      </c>
      <c r="P48" s="0" t="n">
        <v>565.6</v>
      </c>
      <c r="Q48" s="0" t="n">
        <v>555.5</v>
      </c>
      <c r="R48" s="0" t="n">
        <v>579.3</v>
      </c>
      <c r="S48" s="0" t="n">
        <v>553.8</v>
      </c>
      <c r="T48" s="0" t="n">
        <v>570.8</v>
      </c>
      <c r="U48" s="0" t="n">
        <v>566.1</v>
      </c>
      <c r="V48" s="0" t="n">
        <v>575.2</v>
      </c>
      <c r="W48" s="0" t="n">
        <v>588.4</v>
      </c>
      <c r="X48" s="6" t="n">
        <f aca="false">AVERAGE(D48:W48)</f>
        <v>570.71</v>
      </c>
      <c r="Y48" s="7" t="n">
        <f aca="false">_xlfn.STDEV.S(D48:W48)</f>
        <v>11.3696224998666</v>
      </c>
      <c r="Z48" s="7" t="n">
        <f aca="false">Y48/X48</f>
        <v>0.0199218911528914</v>
      </c>
    </row>
    <row r="49" customFormat="false" ht="16.75" hidden="false" customHeight="false" outlineLevel="0" collapsed="false">
      <c r="B49" s="4"/>
      <c r="C49" s="5" t="n">
        <v>75</v>
      </c>
      <c r="D49" s="0" t="n">
        <v>574.7</v>
      </c>
      <c r="E49" s="0" t="n">
        <v>603.3</v>
      </c>
      <c r="F49" s="0" t="n">
        <v>595.2</v>
      </c>
      <c r="G49" s="0" t="n">
        <v>608.3</v>
      </c>
      <c r="H49" s="0" t="n">
        <v>585.2</v>
      </c>
      <c r="I49" s="0" t="n">
        <v>585.9</v>
      </c>
      <c r="J49" s="0" t="n">
        <v>585.6</v>
      </c>
      <c r="K49" s="0" t="n">
        <v>583.6</v>
      </c>
      <c r="L49" s="0" t="n">
        <v>589.3</v>
      </c>
      <c r="M49" s="0" t="n">
        <v>592.6</v>
      </c>
      <c r="N49" s="0" t="n">
        <v>606.2</v>
      </c>
      <c r="O49" s="0" t="n">
        <v>586.7</v>
      </c>
      <c r="P49" s="0" t="n">
        <v>596.1</v>
      </c>
      <c r="Q49" s="0" t="n">
        <v>590.3</v>
      </c>
      <c r="R49" s="0" t="n">
        <v>592.9</v>
      </c>
      <c r="S49" s="0" t="n">
        <v>580.2</v>
      </c>
      <c r="T49" s="0" t="n">
        <v>569.1</v>
      </c>
      <c r="U49" s="0" t="n">
        <v>597.8</v>
      </c>
      <c r="V49" s="0" t="n">
        <v>576.2</v>
      </c>
      <c r="W49" s="0" t="n">
        <v>580.1</v>
      </c>
      <c r="X49" s="6" t="n">
        <f aca="false">AVERAGE(D49:W49)</f>
        <v>588.965</v>
      </c>
      <c r="Y49" s="7" t="n">
        <f aca="false">_xlfn.STDEV.S(D49:W49)</f>
        <v>10.4127591267434</v>
      </c>
      <c r="Z49" s="7" t="n">
        <f aca="false">Y49/X49</f>
        <v>0.0176797587747038</v>
      </c>
    </row>
    <row r="50" customFormat="false" ht="16.75" hidden="false" customHeight="false" outlineLevel="0" collapsed="false">
      <c r="B50" s="4"/>
      <c r="C50" s="5" t="n">
        <v>100</v>
      </c>
      <c r="D50" s="0" t="n">
        <v>614.2</v>
      </c>
      <c r="E50" s="0" t="n">
        <v>591.2</v>
      </c>
      <c r="F50" s="0" t="n">
        <v>613.1</v>
      </c>
      <c r="G50" s="0" t="n">
        <v>589.3</v>
      </c>
      <c r="H50" s="0" t="n">
        <v>614.2</v>
      </c>
      <c r="I50" s="0" t="n">
        <v>617.2</v>
      </c>
      <c r="J50" s="0" t="n">
        <v>617</v>
      </c>
      <c r="K50" s="0" t="n">
        <v>613.9</v>
      </c>
      <c r="L50" s="0" t="n">
        <v>598.4</v>
      </c>
      <c r="M50" s="0" t="n">
        <v>597.1</v>
      </c>
      <c r="N50" s="0" t="n">
        <v>605.5</v>
      </c>
      <c r="O50" s="0" t="n">
        <v>589.7</v>
      </c>
      <c r="P50" s="0" t="n">
        <v>595.5</v>
      </c>
      <c r="Q50" s="0" t="n">
        <v>605.9</v>
      </c>
      <c r="R50" s="0" t="n">
        <v>590.8</v>
      </c>
      <c r="S50" s="0" t="n">
        <v>591.2</v>
      </c>
      <c r="T50" s="0" t="n">
        <v>596.5</v>
      </c>
      <c r="U50" s="0" t="n">
        <v>582.5</v>
      </c>
      <c r="V50" s="0" t="n">
        <v>605.7</v>
      </c>
      <c r="W50" s="0" t="n">
        <v>593.4</v>
      </c>
      <c r="X50" s="6" t="n">
        <f aca="false">AVERAGE(D50:W50)</f>
        <v>601.115</v>
      </c>
      <c r="Y50" s="7" t="n">
        <f aca="false">_xlfn.STDEV.S(D50:W50)</f>
        <v>10.9520618102135</v>
      </c>
      <c r="Z50" s="7" t="n">
        <f aca="false">Y50/X50</f>
        <v>0.0182195783006804</v>
      </c>
    </row>
    <row r="51" customFormat="false" ht="16.75" hidden="false" customHeight="false" outlineLevel="0" collapsed="false">
      <c r="B51" s="4"/>
      <c r="C51" s="5" t="n">
        <v>150</v>
      </c>
      <c r="D51" s="0" t="n">
        <v>610.6</v>
      </c>
      <c r="E51" s="0" t="n">
        <v>598.6</v>
      </c>
      <c r="F51" s="0" t="n">
        <v>605.9</v>
      </c>
      <c r="G51" s="0" t="n">
        <v>620.2</v>
      </c>
      <c r="H51" s="0" t="n">
        <v>620.4</v>
      </c>
      <c r="I51" s="0" t="n">
        <v>618.6</v>
      </c>
      <c r="J51" s="0" t="n">
        <v>623.3</v>
      </c>
      <c r="K51" s="0" t="n">
        <v>612.6</v>
      </c>
      <c r="L51" s="0" t="n">
        <v>607.3</v>
      </c>
      <c r="M51" s="0" t="n">
        <v>601.6</v>
      </c>
      <c r="N51" s="0" t="n">
        <v>609.3</v>
      </c>
      <c r="O51" s="0" t="n">
        <v>613.6</v>
      </c>
      <c r="P51" s="0" t="n">
        <v>613.1</v>
      </c>
      <c r="Q51" s="0" t="n">
        <v>621.6</v>
      </c>
      <c r="R51" s="0" t="n">
        <v>611.5</v>
      </c>
      <c r="S51" s="0" t="n">
        <v>611.3</v>
      </c>
      <c r="T51" s="0" t="n">
        <v>610.6</v>
      </c>
      <c r="U51" s="0" t="n">
        <v>618.6</v>
      </c>
      <c r="V51" s="0" t="n">
        <v>602.3</v>
      </c>
      <c r="W51" s="0" t="n">
        <v>607.9</v>
      </c>
      <c r="X51" s="6" t="n">
        <f aca="false">AVERAGE(D51:W51)</f>
        <v>611.945</v>
      </c>
      <c r="Y51" s="7" t="n">
        <f aca="false">_xlfn.STDEV.S(D51:W51)</f>
        <v>6.95364160558678</v>
      </c>
      <c r="Z51" s="7" t="n">
        <f aca="false">Y51/X51</f>
        <v>0.0113631806871317</v>
      </c>
    </row>
    <row r="52" customFormat="false" ht="15" hidden="false" customHeight="true" outlineLevel="0" collapsed="false">
      <c r="A52" s="1" t="s">
        <v>32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644.8</v>
      </c>
      <c r="E57" s="0" t="n">
        <v>644.7</v>
      </c>
      <c r="F57" s="0" t="n">
        <v>656</v>
      </c>
      <c r="G57" s="0" t="n">
        <v>642.1</v>
      </c>
      <c r="H57" s="0" t="n">
        <v>653.7</v>
      </c>
      <c r="I57" s="0" t="n">
        <v>646.5</v>
      </c>
      <c r="J57" s="0" t="n">
        <v>642.8</v>
      </c>
      <c r="K57" s="0" t="n">
        <v>646.4</v>
      </c>
      <c r="L57" s="0" t="n">
        <v>641.9</v>
      </c>
      <c r="M57" s="0" t="n">
        <v>643</v>
      </c>
      <c r="N57" s="0" t="n">
        <v>645.1</v>
      </c>
      <c r="O57" s="0" t="n">
        <v>642.8</v>
      </c>
      <c r="P57" s="0" t="n">
        <v>646.1</v>
      </c>
      <c r="Q57" s="0" t="n">
        <v>646.7</v>
      </c>
      <c r="R57" s="0" t="n">
        <v>645.1</v>
      </c>
      <c r="S57" s="0" t="n">
        <v>640.2</v>
      </c>
      <c r="T57" s="0" t="n">
        <v>644.1</v>
      </c>
      <c r="U57" s="0" t="n">
        <v>642.5</v>
      </c>
      <c r="V57" s="0" t="n">
        <v>658.5</v>
      </c>
      <c r="W57" s="0" t="n">
        <v>644.4</v>
      </c>
      <c r="X57" s="6" t="n">
        <f aca="false">AVERAGE(D57:W57)</f>
        <v>645.87</v>
      </c>
      <c r="Y57" s="7" t="n">
        <f aca="false">_xlfn.STDEV.S(D57:W57)</f>
        <v>4.78166454171283</v>
      </c>
      <c r="Z57" s="7" t="n">
        <f aca="false">Y57/X57</f>
        <v>0.0074034473527379</v>
      </c>
    </row>
    <row r="58" customFormat="false" ht="16.75" hidden="false" customHeight="false" outlineLevel="0" collapsed="false">
      <c r="B58" s="4"/>
      <c r="C58" s="5" t="n">
        <v>25</v>
      </c>
      <c r="D58" s="0" t="n">
        <v>649.9</v>
      </c>
      <c r="E58" s="0" t="n">
        <v>650.4</v>
      </c>
      <c r="F58" s="0" t="n">
        <v>648.5</v>
      </c>
      <c r="G58" s="0" t="n">
        <v>648.6</v>
      </c>
      <c r="H58" s="0" t="n">
        <v>651.8</v>
      </c>
      <c r="I58" s="0" t="n">
        <v>654.8</v>
      </c>
      <c r="J58" s="0" t="n">
        <v>652.1</v>
      </c>
      <c r="K58" s="0" t="n">
        <v>650.6</v>
      </c>
      <c r="L58" s="0" t="n">
        <v>656.7</v>
      </c>
      <c r="M58" s="0" t="n">
        <v>647.7</v>
      </c>
      <c r="N58" s="0" t="n">
        <v>659.1</v>
      </c>
      <c r="O58" s="0" t="n">
        <v>649.9</v>
      </c>
      <c r="P58" s="0" t="n">
        <v>651.8</v>
      </c>
      <c r="Q58" s="0" t="n">
        <v>651.8</v>
      </c>
      <c r="R58" s="0" t="n">
        <v>656.2</v>
      </c>
      <c r="S58" s="0" t="n">
        <v>648.1</v>
      </c>
      <c r="T58" s="0" t="n">
        <v>649.7</v>
      </c>
      <c r="U58" s="0" t="n">
        <v>663.7</v>
      </c>
      <c r="V58" s="0" t="n">
        <v>654</v>
      </c>
      <c r="W58" s="0" t="n">
        <v>651.4</v>
      </c>
      <c r="X58" s="6" t="n">
        <f aca="false">AVERAGE(D58:W58)</f>
        <v>652.34</v>
      </c>
      <c r="Y58" s="7" t="n">
        <f aca="false">_xlfn.STDEV.S(D58:W58)</f>
        <v>4.05999740731056</v>
      </c>
      <c r="Z58" s="7" t="n">
        <f aca="false">Y58/X58</f>
        <v>0.00622374437764136</v>
      </c>
    </row>
    <row r="59" customFormat="false" ht="16.75" hidden="false" customHeight="false" outlineLevel="0" collapsed="false">
      <c r="B59" s="4"/>
      <c r="C59" s="5" t="n">
        <v>38</v>
      </c>
      <c r="D59" s="0" t="n">
        <v>653.4</v>
      </c>
      <c r="E59" s="0" t="n">
        <v>667.9</v>
      </c>
      <c r="F59" s="0" t="n">
        <v>653.5</v>
      </c>
      <c r="G59" s="0" t="n">
        <v>663.7</v>
      </c>
      <c r="H59" s="0" t="n">
        <v>652</v>
      </c>
      <c r="I59" s="0" t="n">
        <v>659.4</v>
      </c>
      <c r="J59" s="0" t="n">
        <v>657</v>
      </c>
      <c r="K59" s="0" t="n">
        <v>658.6</v>
      </c>
      <c r="L59" s="0" t="n">
        <v>657.8</v>
      </c>
      <c r="M59" s="0" t="n">
        <v>652.4</v>
      </c>
      <c r="N59" s="0" t="n">
        <v>653.1</v>
      </c>
      <c r="O59" s="0" t="n">
        <v>656.3</v>
      </c>
      <c r="P59" s="0" t="n">
        <v>669.5</v>
      </c>
      <c r="Q59" s="0" t="n">
        <v>667.5</v>
      </c>
      <c r="R59" s="0" t="n">
        <v>663.3</v>
      </c>
      <c r="S59" s="0" t="n">
        <v>664.3</v>
      </c>
      <c r="T59" s="0" t="n">
        <v>653.3</v>
      </c>
      <c r="U59" s="0" t="n">
        <v>654.4</v>
      </c>
      <c r="V59" s="0" t="n">
        <v>650.9</v>
      </c>
      <c r="W59" s="0" t="n">
        <v>654.2</v>
      </c>
      <c r="X59" s="6" t="n">
        <f aca="false">AVERAGE(D59:W59)</f>
        <v>658.125</v>
      </c>
      <c r="Y59" s="7" t="n">
        <f aca="false">_xlfn.STDEV.S(D59:W59)</f>
        <v>5.89110614222383</v>
      </c>
      <c r="Z59" s="7" t="n">
        <f aca="false">Y59/X59</f>
        <v>0.00895134836425274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598.4</v>
      </c>
      <c r="E60" s="0" t="n">
        <v>594.1</v>
      </c>
      <c r="F60" s="0" t="n">
        <v>604.6</v>
      </c>
      <c r="G60" s="0" t="n">
        <v>626.6</v>
      </c>
      <c r="H60" s="0" t="n">
        <v>602.8</v>
      </c>
      <c r="I60" s="0" t="n">
        <v>619.6</v>
      </c>
      <c r="J60" s="0" t="n">
        <v>585.1</v>
      </c>
      <c r="K60" s="0" t="n">
        <v>595</v>
      </c>
      <c r="L60" s="0" t="n">
        <v>602</v>
      </c>
      <c r="M60" s="0" t="n">
        <v>595.1</v>
      </c>
      <c r="N60" s="0" t="n">
        <v>605.1</v>
      </c>
      <c r="O60" s="0" t="n">
        <v>608.7</v>
      </c>
      <c r="P60" s="0" t="n">
        <v>592.3</v>
      </c>
      <c r="Q60" s="0" t="n">
        <v>596.9</v>
      </c>
      <c r="R60" s="0" t="n">
        <v>599.5</v>
      </c>
      <c r="S60" s="0" t="n">
        <v>622.1</v>
      </c>
      <c r="T60" s="0" t="n">
        <v>625.5</v>
      </c>
      <c r="U60" s="0" t="n">
        <v>604.3</v>
      </c>
      <c r="V60" s="0" t="n">
        <v>595.8</v>
      </c>
      <c r="W60" s="0" t="n">
        <v>614.4</v>
      </c>
      <c r="X60" s="6" t="n">
        <f aca="false">AVERAGE(D60:W60)</f>
        <v>604.395</v>
      </c>
      <c r="Y60" s="7" t="n">
        <f aca="false">_xlfn.STDEV.S(D60:W60)</f>
        <v>11.6974794855896</v>
      </c>
      <c r="Z60" s="7" t="n">
        <f aca="false">Y60/X60</f>
        <v>0.0193540308665519</v>
      </c>
    </row>
    <row r="61" customFormat="false" ht="16.75" hidden="false" customHeight="false" outlineLevel="0" collapsed="false">
      <c r="B61" s="4"/>
      <c r="C61" s="5" t="n">
        <v>63</v>
      </c>
      <c r="D61" s="0" t="n">
        <v>621.9</v>
      </c>
      <c r="E61" s="0" t="n">
        <v>620</v>
      </c>
      <c r="F61" s="0" t="n">
        <v>618.4</v>
      </c>
      <c r="G61" s="0" t="n">
        <v>621.7</v>
      </c>
      <c r="H61" s="0" t="n">
        <v>617.3</v>
      </c>
      <c r="I61" s="0" t="n">
        <v>624.8</v>
      </c>
      <c r="J61" s="0" t="n">
        <v>627.9</v>
      </c>
      <c r="K61" s="0" t="n">
        <v>632.9</v>
      </c>
      <c r="L61" s="0" t="n">
        <v>616.9</v>
      </c>
      <c r="M61" s="0" t="n">
        <v>618.4</v>
      </c>
      <c r="N61" s="0" t="n">
        <v>622</v>
      </c>
      <c r="O61" s="0" t="n">
        <v>622.4</v>
      </c>
      <c r="P61" s="0" t="n">
        <v>615.1</v>
      </c>
      <c r="Q61" s="0" t="n">
        <v>621.1</v>
      </c>
      <c r="R61" s="0" t="n">
        <v>623.1</v>
      </c>
      <c r="S61" s="0" t="n">
        <v>611.6</v>
      </c>
      <c r="T61" s="0" t="n">
        <v>637.1</v>
      </c>
      <c r="U61" s="0" t="n">
        <v>611.9</v>
      </c>
      <c r="V61" s="0" t="n">
        <v>632.7</v>
      </c>
      <c r="W61" s="0" t="n">
        <v>623.5</v>
      </c>
      <c r="X61" s="6" t="n">
        <f aca="false">AVERAGE(D61:W61)</f>
        <v>622.035</v>
      </c>
      <c r="Y61" s="7" t="n">
        <f aca="false">_xlfn.STDEV.S(D61:W61)</f>
        <v>6.66596026959279</v>
      </c>
      <c r="Z61" s="7" t="n">
        <f aca="false">Y61/X61</f>
        <v>0.0107163749139402</v>
      </c>
    </row>
    <row r="62" customFormat="false" ht="16.75" hidden="false" customHeight="false" outlineLevel="0" collapsed="false">
      <c r="B62" s="4"/>
      <c r="C62" s="5" t="n">
        <v>93</v>
      </c>
      <c r="D62" s="0" t="n">
        <v>643.2</v>
      </c>
      <c r="E62" s="0" t="n">
        <v>630.5</v>
      </c>
      <c r="F62" s="0" t="n">
        <v>644.3</v>
      </c>
      <c r="G62" s="0" t="n">
        <v>638.6</v>
      </c>
      <c r="H62" s="0" t="n">
        <v>625.3</v>
      </c>
      <c r="I62" s="0" t="n">
        <v>630.8</v>
      </c>
      <c r="J62" s="0" t="n">
        <v>630.5</v>
      </c>
      <c r="K62" s="0" t="n">
        <v>633.2</v>
      </c>
      <c r="L62" s="0" t="n">
        <v>632</v>
      </c>
      <c r="M62" s="0" t="n">
        <v>623.8</v>
      </c>
      <c r="N62" s="0" t="n">
        <v>632.2</v>
      </c>
      <c r="O62" s="0" t="n">
        <v>631</v>
      </c>
      <c r="P62" s="0" t="n">
        <v>637.9</v>
      </c>
      <c r="Q62" s="0" t="n">
        <v>628.8</v>
      </c>
      <c r="R62" s="0" t="n">
        <v>628.3</v>
      </c>
      <c r="S62" s="0" t="n">
        <v>629.4</v>
      </c>
      <c r="T62" s="0" t="n">
        <v>641.5</v>
      </c>
      <c r="U62" s="0" t="n">
        <v>628.9</v>
      </c>
      <c r="V62" s="0" t="n">
        <v>631.4</v>
      </c>
      <c r="W62" s="0" t="n">
        <v>624.1</v>
      </c>
      <c r="X62" s="6" t="n">
        <f aca="false">AVERAGE(D62:W62)</f>
        <v>632.285</v>
      </c>
      <c r="Y62" s="7" t="n">
        <f aca="false">_xlfn.STDEV.S(D62:W62)</f>
        <v>5.92650380649681</v>
      </c>
      <c r="Z62" s="7" t="n">
        <f aca="false">Y62/X62</f>
        <v>0.00937315262341635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527.1</v>
      </c>
      <c r="E63" s="0" t="n">
        <v>548.3</v>
      </c>
      <c r="F63" s="0" t="n">
        <v>527.4</v>
      </c>
      <c r="G63" s="0" t="n">
        <v>541.5</v>
      </c>
      <c r="H63" s="0" t="n">
        <v>553</v>
      </c>
      <c r="I63" s="0" t="n">
        <v>547.6</v>
      </c>
      <c r="J63" s="0" t="n">
        <v>549.1</v>
      </c>
      <c r="K63" s="0" t="n">
        <v>542.4</v>
      </c>
      <c r="L63" s="0" t="n">
        <v>536.8</v>
      </c>
      <c r="M63" s="0" t="n">
        <v>535.7</v>
      </c>
      <c r="N63" s="0" t="n">
        <v>529.8</v>
      </c>
      <c r="O63" s="0" t="n">
        <v>553.7</v>
      </c>
      <c r="P63" s="0" t="n">
        <v>534.7</v>
      </c>
      <c r="Q63" s="0" t="n">
        <v>524.8</v>
      </c>
      <c r="R63" s="0" t="n">
        <v>530.1</v>
      </c>
      <c r="S63" s="0" t="n">
        <v>553</v>
      </c>
      <c r="T63" s="0" t="n">
        <v>539.4</v>
      </c>
      <c r="U63" s="0" t="n">
        <v>522</v>
      </c>
      <c r="V63" s="0" t="n">
        <v>531.3</v>
      </c>
      <c r="W63" s="0" t="n">
        <v>546.7</v>
      </c>
      <c r="X63" s="6" t="n">
        <f aca="false">AVERAGE(D63:W63)</f>
        <v>538.72</v>
      </c>
      <c r="Y63" s="7" t="n">
        <f aca="false">_xlfn.STDEV.S(D63:W63)</f>
        <v>10.1836091213696</v>
      </c>
      <c r="Z63" s="7" t="n">
        <f aca="false">Y63/X63</f>
        <v>0.0189033433348857</v>
      </c>
    </row>
    <row r="64" customFormat="false" ht="16.75" hidden="false" customHeight="false" outlineLevel="0" collapsed="false">
      <c r="B64" s="4"/>
      <c r="C64" s="5" t="n">
        <v>38</v>
      </c>
      <c r="D64" s="0" t="n">
        <v>555.6</v>
      </c>
      <c r="E64" s="0" t="n">
        <v>574.2</v>
      </c>
      <c r="F64" s="0" t="n">
        <v>552.3</v>
      </c>
      <c r="G64" s="0" t="n">
        <v>572.2</v>
      </c>
      <c r="H64" s="0" t="n">
        <v>571.9</v>
      </c>
      <c r="I64" s="0" t="n">
        <v>580.2</v>
      </c>
      <c r="J64" s="0" t="n">
        <v>585.2</v>
      </c>
      <c r="K64" s="0" t="n">
        <v>549.7</v>
      </c>
      <c r="L64" s="0" t="n">
        <v>551.7</v>
      </c>
      <c r="M64" s="0" t="n">
        <v>546</v>
      </c>
      <c r="N64" s="0" t="n">
        <v>580.2</v>
      </c>
      <c r="O64" s="0" t="n">
        <v>571.2</v>
      </c>
      <c r="P64" s="0" t="n">
        <v>555.6</v>
      </c>
      <c r="Q64" s="0" t="n">
        <v>561.3</v>
      </c>
      <c r="R64" s="0" t="n">
        <v>566</v>
      </c>
      <c r="S64" s="0" t="n">
        <v>552.5</v>
      </c>
      <c r="T64" s="0" t="n">
        <v>550.2</v>
      </c>
      <c r="U64" s="0" t="n">
        <v>551.5</v>
      </c>
      <c r="V64" s="0" t="n">
        <v>581.6</v>
      </c>
      <c r="W64" s="0" t="n">
        <v>567.5</v>
      </c>
      <c r="X64" s="6" t="n">
        <f aca="false">AVERAGE(D64:W64)</f>
        <v>563.83</v>
      </c>
      <c r="Y64" s="7" t="n">
        <f aca="false">_xlfn.STDEV.S(D64:W64)</f>
        <v>12.6268344159738</v>
      </c>
      <c r="Z64" s="7" t="n">
        <f aca="false">Y64/X64</f>
        <v>0.0223947544755934</v>
      </c>
    </row>
    <row r="65" customFormat="false" ht="16.75" hidden="false" customHeight="false" outlineLevel="0" collapsed="false">
      <c r="B65" s="4"/>
      <c r="C65" s="5" t="n">
        <v>50</v>
      </c>
      <c r="D65" s="0" t="n">
        <v>584.8</v>
      </c>
      <c r="E65" s="0" t="n">
        <v>566.3</v>
      </c>
      <c r="F65" s="0" t="n">
        <v>552.7</v>
      </c>
      <c r="G65" s="0" t="n">
        <v>572</v>
      </c>
      <c r="H65" s="0" t="n">
        <v>570.6</v>
      </c>
      <c r="I65" s="0" t="n">
        <v>590</v>
      </c>
      <c r="J65" s="0" t="n">
        <v>556.4</v>
      </c>
      <c r="K65" s="0" t="n">
        <v>557.1</v>
      </c>
      <c r="L65" s="0" t="n">
        <v>562.5</v>
      </c>
      <c r="M65" s="0" t="n">
        <v>569.6</v>
      </c>
      <c r="N65" s="0" t="n">
        <v>580.5</v>
      </c>
      <c r="O65" s="0" t="n">
        <v>583.2</v>
      </c>
      <c r="P65" s="0" t="n">
        <v>553.8</v>
      </c>
      <c r="Q65" s="0" t="n">
        <v>560.8</v>
      </c>
      <c r="R65" s="0" t="n">
        <v>561.3</v>
      </c>
      <c r="S65" s="0" t="n">
        <v>567.6</v>
      </c>
      <c r="T65" s="0" t="n">
        <v>572.8</v>
      </c>
      <c r="U65" s="0" t="n">
        <v>556.2</v>
      </c>
      <c r="V65" s="0" t="n">
        <v>573.1</v>
      </c>
      <c r="W65" s="0" t="n">
        <v>559.4</v>
      </c>
      <c r="X65" s="6" t="n">
        <f aca="false">AVERAGE(D65:W65)</f>
        <v>567.535</v>
      </c>
      <c r="Y65" s="7" t="n">
        <f aca="false">_xlfn.STDEV.S(D65:W65)</f>
        <v>10.8964153931948</v>
      </c>
      <c r="Z65" s="7" t="n">
        <f aca="false">Y65/X65</f>
        <v>0.0191995478573036</v>
      </c>
    </row>
    <row r="66" customFormat="false" ht="16.75" hidden="false" customHeight="false" outlineLevel="0" collapsed="false">
      <c r="B66" s="4"/>
      <c r="C66" s="5" t="n">
        <v>75</v>
      </c>
      <c r="D66" s="0" t="n">
        <v>568.8</v>
      </c>
      <c r="E66" s="0" t="n">
        <v>570.2</v>
      </c>
      <c r="F66" s="0" t="n">
        <v>582.9</v>
      </c>
      <c r="G66" s="0" t="n">
        <v>582.1</v>
      </c>
      <c r="H66" s="0" t="n">
        <v>556</v>
      </c>
      <c r="I66" s="0" t="n">
        <v>562.6</v>
      </c>
      <c r="J66" s="0" t="n">
        <v>583.8</v>
      </c>
      <c r="K66" s="0" t="n">
        <v>561.2</v>
      </c>
      <c r="L66" s="0" t="n">
        <v>569.1</v>
      </c>
      <c r="M66" s="0" t="n">
        <v>561.2</v>
      </c>
      <c r="N66" s="0" t="n">
        <v>582.4</v>
      </c>
      <c r="O66" s="0" t="n">
        <v>567.2</v>
      </c>
      <c r="P66" s="0" t="n">
        <v>581.3</v>
      </c>
      <c r="Q66" s="0" t="n">
        <v>555.7</v>
      </c>
      <c r="R66" s="0" t="n">
        <v>572.4</v>
      </c>
      <c r="S66" s="0" t="n">
        <v>574.2</v>
      </c>
      <c r="T66" s="0" t="n">
        <v>570.3</v>
      </c>
      <c r="U66" s="0" t="n">
        <v>582.8</v>
      </c>
      <c r="V66" s="0" t="n">
        <v>556.5</v>
      </c>
      <c r="W66" s="0" t="n">
        <v>557.1</v>
      </c>
      <c r="X66" s="6" t="n">
        <f aca="false">AVERAGE(D66:W66)</f>
        <v>569.89</v>
      </c>
      <c r="Y66" s="7" t="n">
        <f aca="false">_xlfn.STDEV.S(D66:W66)</f>
        <v>10.1065846175441</v>
      </c>
      <c r="Z66" s="7" t="n">
        <f aca="false">Y66/X66</f>
        <v>0.0177342726097038</v>
      </c>
    </row>
    <row r="67" customFormat="false" ht="16.75" hidden="false" customHeight="false" outlineLevel="0" collapsed="false">
      <c r="B67" s="4"/>
      <c r="C67" s="5" t="n">
        <v>100</v>
      </c>
      <c r="D67" s="0" t="n">
        <v>593.9</v>
      </c>
      <c r="E67" s="0" t="n">
        <v>579.3</v>
      </c>
      <c r="F67" s="0" t="n">
        <v>570.9</v>
      </c>
      <c r="G67" s="0" t="n">
        <v>584.7</v>
      </c>
      <c r="H67" s="0" t="n">
        <v>575.5</v>
      </c>
      <c r="I67" s="0" t="n">
        <v>565.2</v>
      </c>
      <c r="J67" s="0" t="n">
        <v>589.4</v>
      </c>
      <c r="K67" s="0" t="n">
        <v>570.9</v>
      </c>
      <c r="L67" s="0" t="n">
        <v>564.8</v>
      </c>
      <c r="M67" s="0" t="n">
        <v>582.3</v>
      </c>
      <c r="N67" s="0" t="n">
        <v>567.8</v>
      </c>
      <c r="O67" s="0" t="n">
        <v>587.3</v>
      </c>
      <c r="P67" s="0" t="n">
        <v>598.3</v>
      </c>
      <c r="Q67" s="0" t="n">
        <v>571.3</v>
      </c>
      <c r="R67" s="0" t="n">
        <v>563.2</v>
      </c>
      <c r="S67" s="0" t="n">
        <v>570.5</v>
      </c>
      <c r="T67" s="0" t="n">
        <v>571.9</v>
      </c>
      <c r="U67" s="0" t="n">
        <v>571.1</v>
      </c>
      <c r="V67" s="0" t="n">
        <v>582.5</v>
      </c>
      <c r="W67" s="0" t="n">
        <v>569.4</v>
      </c>
      <c r="X67" s="6" t="n">
        <f aca="false">AVERAGE(D67:W67)</f>
        <v>576.51</v>
      </c>
      <c r="Y67" s="7" t="n">
        <f aca="false">_xlfn.STDEV.S(D67:W67)</f>
        <v>10.1318102502647</v>
      </c>
      <c r="Z67" s="7" t="n">
        <f aca="false">Y67/X67</f>
        <v>0.017574387695382</v>
      </c>
    </row>
    <row r="68" customFormat="false" ht="16.75" hidden="false" customHeight="false" outlineLevel="0" collapsed="false">
      <c r="B68" s="4"/>
      <c r="C68" s="5" t="n">
        <v>150</v>
      </c>
      <c r="D68" s="0" t="n">
        <v>590.2</v>
      </c>
      <c r="E68" s="0" t="n">
        <v>577.3</v>
      </c>
      <c r="F68" s="0" t="n">
        <v>585.1</v>
      </c>
      <c r="G68" s="0" t="n">
        <v>600.1</v>
      </c>
      <c r="H68" s="0" t="n">
        <v>601.9</v>
      </c>
      <c r="I68" s="0" t="n">
        <v>588.7</v>
      </c>
      <c r="J68" s="0" t="n">
        <v>587.2</v>
      </c>
      <c r="K68" s="0" t="n">
        <v>597.2</v>
      </c>
      <c r="L68" s="0" t="n">
        <v>576.9</v>
      </c>
      <c r="M68" s="0" t="n">
        <v>603</v>
      </c>
      <c r="N68" s="0" t="n">
        <v>579.7</v>
      </c>
      <c r="O68" s="0" t="n">
        <v>595.9</v>
      </c>
      <c r="P68" s="0" t="n">
        <v>593.9</v>
      </c>
      <c r="Q68" s="0" t="n">
        <v>589.7</v>
      </c>
      <c r="R68" s="0" t="n">
        <v>591.1</v>
      </c>
      <c r="S68" s="0" t="n">
        <v>578.5</v>
      </c>
      <c r="T68" s="0" t="n">
        <v>610.7</v>
      </c>
      <c r="U68" s="0" t="n">
        <v>608.2</v>
      </c>
      <c r="V68" s="0" t="n">
        <v>581.7</v>
      </c>
      <c r="W68" s="0" t="n">
        <v>586.4</v>
      </c>
      <c r="X68" s="6" t="n">
        <f aca="false">AVERAGE(D68:W68)</f>
        <v>591.17</v>
      </c>
      <c r="Y68" s="7" t="n">
        <f aca="false">_xlfn.STDEV.S(D68:W68)</f>
        <v>10.0911686246206</v>
      </c>
      <c r="Z68" s="7" t="n">
        <f aca="false">Y68/X68</f>
        <v>0.0170698253034162</v>
      </c>
    </row>
    <row r="69" customFormat="false" ht="15" hidden="false" customHeight="true" outlineLevel="0" collapsed="false">
      <c r="A69" s="1" t="s">
        <v>32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694.2</v>
      </c>
      <c r="E74" s="0" t="n">
        <v>691.2</v>
      </c>
      <c r="F74" s="0" t="n">
        <v>688.2</v>
      </c>
      <c r="G74" s="0" t="n">
        <v>687.4</v>
      </c>
      <c r="H74" s="0" t="n">
        <v>688.7</v>
      </c>
      <c r="I74" s="0" t="n">
        <v>701.6</v>
      </c>
      <c r="J74" s="0" t="n">
        <v>687.8</v>
      </c>
      <c r="K74" s="0" t="n">
        <v>690.5</v>
      </c>
      <c r="L74" s="0" t="n">
        <v>702.5</v>
      </c>
      <c r="M74" s="0" t="n">
        <v>702.7</v>
      </c>
      <c r="N74" s="0" t="n">
        <v>685.1</v>
      </c>
      <c r="O74" s="0" t="n">
        <v>702.5</v>
      </c>
      <c r="P74" s="0" t="n">
        <v>687.7</v>
      </c>
      <c r="Q74" s="0" t="n">
        <v>688.5</v>
      </c>
      <c r="R74" s="0" t="n">
        <v>700.9</v>
      </c>
      <c r="S74" s="0" t="n">
        <v>686.9</v>
      </c>
      <c r="T74" s="0" t="n">
        <v>688.8</v>
      </c>
      <c r="U74" s="0" t="n">
        <v>685.9</v>
      </c>
      <c r="V74" s="0" t="n">
        <v>689.2</v>
      </c>
      <c r="W74" s="0" t="n">
        <v>692.1</v>
      </c>
      <c r="X74" s="6" t="n">
        <f aca="false">AVERAGE(D74:W74)</f>
        <v>692.12</v>
      </c>
      <c r="Y74" s="7" t="n">
        <f aca="false">_xlfn.STDEV.S(D74:W74)</f>
        <v>6.23062048105543</v>
      </c>
      <c r="Z74" s="7" t="n">
        <f aca="false">Y74/X74</f>
        <v>0.00900222574272587</v>
      </c>
    </row>
    <row r="75" customFormat="false" ht="16.75" hidden="false" customHeight="false" outlineLevel="0" collapsed="false">
      <c r="B75" s="4"/>
      <c r="C75" s="5" t="n">
        <v>25</v>
      </c>
      <c r="D75" s="0" t="n">
        <v>690.3</v>
      </c>
      <c r="E75" s="0" t="n">
        <v>693.3</v>
      </c>
      <c r="F75" s="0" t="n">
        <v>689.4</v>
      </c>
      <c r="G75" s="0" t="n">
        <v>694.2</v>
      </c>
      <c r="H75" s="0" t="n">
        <v>703.8</v>
      </c>
      <c r="I75" s="0" t="n">
        <v>691</v>
      </c>
      <c r="J75" s="0" t="n">
        <v>690.6</v>
      </c>
      <c r="K75" s="0" t="n">
        <v>690.2</v>
      </c>
      <c r="L75" s="0" t="n">
        <v>691.6</v>
      </c>
      <c r="M75" s="0" t="n">
        <v>694.2</v>
      </c>
      <c r="N75" s="0" t="n">
        <v>688.1</v>
      </c>
      <c r="O75" s="0" t="n">
        <v>702.8</v>
      </c>
      <c r="P75" s="0" t="n">
        <v>692</v>
      </c>
      <c r="Q75" s="0" t="n">
        <v>692.2</v>
      </c>
      <c r="R75" s="0" t="n">
        <v>689.7</v>
      </c>
      <c r="S75" s="0" t="n">
        <v>690.1</v>
      </c>
      <c r="T75" s="0" t="n">
        <v>693.9</v>
      </c>
      <c r="U75" s="0" t="n">
        <v>691.1</v>
      </c>
      <c r="V75" s="0" t="n">
        <v>704</v>
      </c>
      <c r="W75" s="0" t="n">
        <v>691.5</v>
      </c>
      <c r="X75" s="6" t="n">
        <f aca="false">AVERAGE(D75:W75)</f>
        <v>693.2</v>
      </c>
      <c r="Y75" s="7" t="n">
        <f aca="false">_xlfn.STDEV.S(D75:W75)</f>
        <v>4.7421958049654</v>
      </c>
      <c r="Z75" s="7" t="n">
        <f aca="false">Y75/X75</f>
        <v>0.00684102106890566</v>
      </c>
    </row>
    <row r="76" customFormat="false" ht="16.75" hidden="false" customHeight="false" outlineLevel="0" collapsed="false">
      <c r="B76" s="4"/>
      <c r="C76" s="5" t="n">
        <v>38</v>
      </c>
      <c r="D76" s="0" t="n">
        <v>700</v>
      </c>
      <c r="E76" s="0" t="n">
        <v>706</v>
      </c>
      <c r="F76" s="0" t="n">
        <v>705.1</v>
      </c>
      <c r="G76" s="0" t="n">
        <v>691.7</v>
      </c>
      <c r="H76" s="0" t="n">
        <v>693</v>
      </c>
      <c r="I76" s="0" t="n">
        <v>693.3</v>
      </c>
      <c r="J76" s="0" t="n">
        <v>691.4</v>
      </c>
      <c r="K76" s="0" t="n">
        <v>692</v>
      </c>
      <c r="L76" s="0" t="n">
        <v>706.3</v>
      </c>
      <c r="M76" s="0" t="n">
        <v>693.5</v>
      </c>
      <c r="N76" s="0" t="n">
        <v>691.8</v>
      </c>
      <c r="O76" s="0" t="n">
        <v>702</v>
      </c>
      <c r="P76" s="0" t="n">
        <v>693.6</v>
      </c>
      <c r="Q76" s="0" t="n">
        <v>691.6</v>
      </c>
      <c r="R76" s="0" t="n">
        <v>689</v>
      </c>
      <c r="S76" s="0" t="n">
        <v>691.9</v>
      </c>
      <c r="T76" s="0" t="n">
        <v>695.4</v>
      </c>
      <c r="U76" s="0" t="n">
        <v>705.1</v>
      </c>
      <c r="V76" s="0" t="n">
        <v>690.6</v>
      </c>
      <c r="W76" s="0" t="n">
        <v>680.7</v>
      </c>
      <c r="X76" s="6" t="n">
        <f aca="false">AVERAGE(D76:W76)</f>
        <v>695.2</v>
      </c>
      <c r="Y76" s="7" t="n">
        <f aca="false">_xlfn.STDEV.S(D76:W76)</f>
        <v>6.73279483690016</v>
      </c>
      <c r="Z76" s="7" t="n">
        <f aca="false">Y76/X76</f>
        <v>0.00968468762500022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668.9</v>
      </c>
      <c r="E77" s="0" t="n">
        <v>654.7</v>
      </c>
      <c r="F77" s="0" t="n">
        <v>649.9</v>
      </c>
      <c r="G77" s="0" t="n">
        <v>666.9</v>
      </c>
      <c r="H77" s="0" t="n">
        <v>644</v>
      </c>
      <c r="I77" s="0" t="n">
        <v>658.8</v>
      </c>
      <c r="J77" s="0" t="n">
        <v>642.8</v>
      </c>
      <c r="K77" s="0" t="n">
        <v>645.3</v>
      </c>
      <c r="L77" s="0" t="n">
        <v>651.2</v>
      </c>
      <c r="M77" s="0" t="n">
        <v>645.3</v>
      </c>
      <c r="N77" s="0" t="n">
        <v>647</v>
      </c>
      <c r="O77" s="0" t="n">
        <v>650.1</v>
      </c>
      <c r="P77" s="0" t="n">
        <v>642.9</v>
      </c>
      <c r="Q77" s="0" t="n">
        <v>647.1</v>
      </c>
      <c r="R77" s="0" t="n">
        <v>658.5</v>
      </c>
      <c r="S77" s="0" t="n">
        <v>653.5</v>
      </c>
      <c r="T77" s="0" t="n">
        <v>642.85</v>
      </c>
      <c r="U77" s="0" t="n">
        <v>641.5</v>
      </c>
      <c r="V77" s="0" t="n">
        <v>651.6</v>
      </c>
      <c r="W77" s="0" t="n">
        <v>648.2</v>
      </c>
      <c r="X77" s="6" t="n">
        <f aca="false">AVERAGE(D77:W77)</f>
        <v>650.5525</v>
      </c>
      <c r="Y77" s="7" t="n">
        <f aca="false">_xlfn.STDEV.S(D77:W77)</f>
        <v>7.78398279532366</v>
      </c>
      <c r="Z77" s="7" t="n">
        <f aca="false">Y77/X77</f>
        <v>0.0119651877370753</v>
      </c>
    </row>
    <row r="78" customFormat="false" ht="16.75" hidden="false" customHeight="false" outlineLevel="0" collapsed="false">
      <c r="B78" s="4"/>
      <c r="C78" s="5" t="n">
        <v>63</v>
      </c>
      <c r="D78" s="0" t="n">
        <v>661.5</v>
      </c>
      <c r="E78" s="0" t="n">
        <v>663.9</v>
      </c>
      <c r="F78" s="0" t="n">
        <v>677.6</v>
      </c>
      <c r="G78" s="0" t="n">
        <v>667.4</v>
      </c>
      <c r="H78" s="0" t="n">
        <v>652.8</v>
      </c>
      <c r="I78" s="0" t="n">
        <v>657.7</v>
      </c>
      <c r="J78" s="0" t="n">
        <v>661.5</v>
      </c>
      <c r="K78" s="0" t="n">
        <v>667.5</v>
      </c>
      <c r="L78" s="0" t="n">
        <v>659</v>
      </c>
      <c r="M78" s="0" t="n">
        <v>661.2</v>
      </c>
      <c r="N78" s="0" t="n">
        <v>658.9</v>
      </c>
      <c r="O78" s="0" t="n">
        <v>662.1</v>
      </c>
      <c r="P78" s="0" t="n">
        <v>682.4</v>
      </c>
      <c r="Q78" s="0" t="n">
        <v>681.3</v>
      </c>
      <c r="R78" s="0" t="n">
        <v>658.7</v>
      </c>
      <c r="S78" s="0" t="n">
        <v>657.5</v>
      </c>
      <c r="T78" s="0" t="n">
        <v>664.4</v>
      </c>
      <c r="U78" s="0" t="n">
        <v>667.4</v>
      </c>
      <c r="V78" s="0" t="n">
        <v>652.9</v>
      </c>
      <c r="W78" s="0" t="n">
        <v>663.8</v>
      </c>
      <c r="X78" s="6" t="n">
        <f aca="false">AVERAGE(D78:W78)</f>
        <v>663.975</v>
      </c>
      <c r="Y78" s="7" t="n">
        <f aca="false">_xlfn.STDEV.S(D78:W78)</f>
        <v>8.24626709806513</v>
      </c>
      <c r="Z78" s="7" t="n">
        <f aca="false">Y78/X78</f>
        <v>0.0124195445582516</v>
      </c>
    </row>
    <row r="79" customFormat="false" ht="16.75" hidden="false" customHeight="false" outlineLevel="0" collapsed="false">
      <c r="B79" s="4"/>
      <c r="C79" s="5" t="n">
        <v>93</v>
      </c>
      <c r="D79" s="0" t="n">
        <v>672.1</v>
      </c>
      <c r="E79" s="0" t="n">
        <v>674.5</v>
      </c>
      <c r="F79" s="0" t="n">
        <v>679.2</v>
      </c>
      <c r="G79" s="0" t="n">
        <v>668.5</v>
      </c>
      <c r="H79" s="0" t="n">
        <v>687.7</v>
      </c>
      <c r="I79" s="0" t="n">
        <v>679.6</v>
      </c>
      <c r="J79" s="0" t="n">
        <v>680.1</v>
      </c>
      <c r="K79" s="0" t="n">
        <v>692.1</v>
      </c>
      <c r="L79" s="0" t="n">
        <v>676.3</v>
      </c>
      <c r="M79" s="0" t="n">
        <v>680.1</v>
      </c>
      <c r="N79" s="0" t="n">
        <v>677</v>
      </c>
      <c r="O79" s="0" t="n">
        <v>691.9</v>
      </c>
      <c r="P79" s="0" t="n">
        <v>683</v>
      </c>
      <c r="Q79" s="0" t="n">
        <v>687.3</v>
      </c>
      <c r="R79" s="0" t="n">
        <v>674.4</v>
      </c>
      <c r="S79" s="0" t="n">
        <v>682</v>
      </c>
      <c r="T79" s="0" t="n">
        <v>687.1</v>
      </c>
      <c r="U79" s="0" t="n">
        <v>685.1</v>
      </c>
      <c r="V79" s="0" t="n">
        <v>660.9</v>
      </c>
      <c r="W79" s="0" t="n">
        <v>682.6</v>
      </c>
      <c r="X79" s="6" t="n">
        <f aca="false">AVERAGE(D79:W79)</f>
        <v>680.075</v>
      </c>
      <c r="Y79" s="7" t="n">
        <f aca="false">_xlfn.STDEV.S(D79:W79)</f>
        <v>7.75023768735685</v>
      </c>
      <c r="Z79" s="7" t="n">
        <f aca="false">Y79/X79</f>
        <v>0.0113961514352929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563.8</v>
      </c>
      <c r="E80" s="0" t="n">
        <v>558.2</v>
      </c>
      <c r="F80" s="0" t="n">
        <v>570.2</v>
      </c>
      <c r="G80" s="0" t="n">
        <v>578.6</v>
      </c>
      <c r="H80" s="0" t="n">
        <v>572.8</v>
      </c>
      <c r="I80" s="0" t="n">
        <v>540.4</v>
      </c>
      <c r="J80" s="0" t="n">
        <v>564.2</v>
      </c>
      <c r="K80" s="0" t="n">
        <v>566.9</v>
      </c>
      <c r="L80" s="0" t="n">
        <v>601.6</v>
      </c>
      <c r="M80" s="0" t="n">
        <v>575.8</v>
      </c>
      <c r="N80" s="0" t="n">
        <v>553</v>
      </c>
      <c r="O80" s="0" t="n">
        <v>591.1</v>
      </c>
      <c r="P80" s="0" t="n">
        <v>558.1</v>
      </c>
      <c r="Q80" s="0" t="n">
        <v>547.4</v>
      </c>
      <c r="R80" s="0" t="n">
        <v>570.9</v>
      </c>
      <c r="S80" s="0" t="n">
        <v>546.3</v>
      </c>
      <c r="T80" s="0" t="n">
        <v>556.8</v>
      </c>
      <c r="U80" s="0" t="n">
        <v>569.3</v>
      </c>
      <c r="V80" s="0" t="n">
        <v>582.7</v>
      </c>
      <c r="W80" s="0" t="n">
        <v>553.9</v>
      </c>
      <c r="X80" s="6" t="n">
        <f aca="false">AVERAGE(D80:W80)</f>
        <v>566.1</v>
      </c>
      <c r="Y80" s="7" t="n">
        <f aca="false">_xlfn.STDEV.S(D80:W80)</f>
        <v>15.3060703472081</v>
      </c>
      <c r="Z80" s="7" t="n">
        <f aca="false">Y80/X80</f>
        <v>0.0270377501275537</v>
      </c>
    </row>
    <row r="81" customFormat="false" ht="16.75" hidden="false" customHeight="false" outlineLevel="0" collapsed="false">
      <c r="B81" s="4"/>
      <c r="C81" s="5" t="n">
        <v>38</v>
      </c>
      <c r="D81" s="0" t="n">
        <v>600.4</v>
      </c>
      <c r="E81" s="0" t="n">
        <v>578.1</v>
      </c>
      <c r="F81" s="0" t="n">
        <v>579.4</v>
      </c>
      <c r="G81" s="0" t="n">
        <v>600.9</v>
      </c>
      <c r="H81" s="0" t="n">
        <v>597.5</v>
      </c>
      <c r="I81" s="0" t="n">
        <v>606.5</v>
      </c>
      <c r="J81" s="0" t="n">
        <v>601.1</v>
      </c>
      <c r="K81" s="0" t="n">
        <v>613.9</v>
      </c>
      <c r="L81" s="0" t="n">
        <v>580.4</v>
      </c>
      <c r="M81" s="0" t="n">
        <v>592.4</v>
      </c>
      <c r="N81" s="0" t="n">
        <v>604.4</v>
      </c>
      <c r="O81" s="0" t="n">
        <v>585</v>
      </c>
      <c r="P81" s="0" t="n">
        <v>611.6</v>
      </c>
      <c r="Q81" s="0" t="n">
        <v>585.7</v>
      </c>
      <c r="R81" s="0" t="n">
        <v>590.3</v>
      </c>
      <c r="S81" s="0" t="n">
        <v>615</v>
      </c>
      <c r="T81" s="0" t="n">
        <v>571.5</v>
      </c>
      <c r="U81" s="0" t="n">
        <v>597.7</v>
      </c>
      <c r="V81" s="0" t="n">
        <v>578.2</v>
      </c>
      <c r="W81" s="0" t="n">
        <v>608.8</v>
      </c>
      <c r="X81" s="6" t="n">
        <f aca="false">AVERAGE(D81:W81)</f>
        <v>594.94</v>
      </c>
      <c r="Y81" s="7" t="n">
        <f aca="false">_xlfn.STDEV.S(D81:W81)</f>
        <v>13.2792437958445</v>
      </c>
      <c r="Z81" s="7" t="n">
        <f aca="false">Y81/X81</f>
        <v>0.0223203075870583</v>
      </c>
    </row>
    <row r="82" customFormat="false" ht="16.75" hidden="false" customHeight="false" outlineLevel="0" collapsed="false">
      <c r="B82" s="4"/>
      <c r="C82" s="5" t="n">
        <v>50</v>
      </c>
      <c r="D82" s="0" t="n">
        <v>608</v>
      </c>
      <c r="E82" s="0" t="n">
        <v>607</v>
      </c>
      <c r="F82" s="0" t="n">
        <v>615.9</v>
      </c>
      <c r="G82" s="0" t="n">
        <v>605.7</v>
      </c>
      <c r="H82" s="0" t="n">
        <v>626.9</v>
      </c>
      <c r="I82" s="0" t="n">
        <v>617.8</v>
      </c>
      <c r="J82" s="0" t="n">
        <v>597.7</v>
      </c>
      <c r="K82" s="0" t="n">
        <v>597.4</v>
      </c>
      <c r="L82" s="0" t="n">
        <v>606.7</v>
      </c>
      <c r="M82" s="0" t="n">
        <v>587.1</v>
      </c>
      <c r="N82" s="0" t="n">
        <v>610.3</v>
      </c>
      <c r="O82" s="0" t="n">
        <v>620.1</v>
      </c>
      <c r="P82" s="0" t="n">
        <v>596.1</v>
      </c>
      <c r="Q82" s="0" t="n">
        <v>609.2</v>
      </c>
      <c r="R82" s="0" t="n">
        <v>591.9</v>
      </c>
      <c r="S82" s="0" t="n">
        <v>590.9</v>
      </c>
      <c r="T82" s="0" t="n">
        <v>600.4</v>
      </c>
      <c r="U82" s="0" t="n">
        <v>628.6</v>
      </c>
      <c r="V82" s="0" t="n">
        <v>587.5</v>
      </c>
      <c r="W82" s="0" t="n">
        <v>604.6</v>
      </c>
      <c r="X82" s="6" t="n">
        <f aca="false">AVERAGE(D82:W82)</f>
        <v>605.49</v>
      </c>
      <c r="Y82" s="7" t="n">
        <f aca="false">_xlfn.STDEV.S(D82:W82)</f>
        <v>12.1681162318404</v>
      </c>
      <c r="Z82" s="7" t="n">
        <f aca="false">Y82/X82</f>
        <v>0.0200963124607185</v>
      </c>
    </row>
    <row r="83" customFormat="false" ht="16.75" hidden="false" customHeight="false" outlineLevel="0" collapsed="false">
      <c r="B83" s="4"/>
      <c r="C83" s="5" t="n">
        <v>75</v>
      </c>
      <c r="D83" s="0" t="n">
        <v>620</v>
      </c>
      <c r="E83" s="0" t="n">
        <v>598.2</v>
      </c>
      <c r="F83" s="0" t="n">
        <v>599.5</v>
      </c>
      <c r="G83" s="0" t="n">
        <v>613.5</v>
      </c>
      <c r="H83" s="0" t="n">
        <v>632.7</v>
      </c>
      <c r="I83" s="0" t="n">
        <v>604.3</v>
      </c>
      <c r="J83" s="0" t="n">
        <v>603.8</v>
      </c>
      <c r="K83" s="0" t="n">
        <v>595.3</v>
      </c>
      <c r="L83" s="0" t="n">
        <v>615.8</v>
      </c>
      <c r="M83" s="0" t="n">
        <v>623</v>
      </c>
      <c r="N83" s="0" t="n">
        <v>602.8</v>
      </c>
      <c r="O83" s="0" t="n">
        <v>606.4</v>
      </c>
      <c r="P83" s="0" t="n">
        <v>618.8</v>
      </c>
      <c r="Q83" s="0" t="n">
        <v>603.9</v>
      </c>
      <c r="R83" s="0" t="n">
        <v>601.5</v>
      </c>
      <c r="S83" s="0" t="n">
        <v>602.2</v>
      </c>
      <c r="T83" s="0" t="n">
        <v>622</v>
      </c>
      <c r="U83" s="0" t="n">
        <v>610.8</v>
      </c>
      <c r="V83" s="0" t="n">
        <v>598.9</v>
      </c>
      <c r="W83" s="0" t="n">
        <v>620.8</v>
      </c>
      <c r="X83" s="6" t="n">
        <f aca="false">AVERAGE(D83:W83)</f>
        <v>609.71</v>
      </c>
      <c r="Y83" s="7" t="n">
        <f aca="false">_xlfn.STDEV.S(D83:W83)</f>
        <v>10.4176924407219</v>
      </c>
      <c r="Z83" s="7" t="n">
        <f aca="false">Y83/X83</f>
        <v>0.0170863073276179</v>
      </c>
    </row>
    <row r="84" customFormat="false" ht="16.75" hidden="false" customHeight="false" outlineLevel="0" collapsed="false">
      <c r="B84" s="4"/>
      <c r="C84" s="5" t="n">
        <v>100</v>
      </c>
      <c r="D84" s="0" t="n">
        <v>635.4</v>
      </c>
      <c r="E84" s="0" t="n">
        <v>629.2</v>
      </c>
      <c r="F84" s="0" t="n">
        <v>624.3</v>
      </c>
      <c r="G84" s="0" t="n">
        <v>622.6</v>
      </c>
      <c r="H84" s="0" t="n">
        <v>645.2</v>
      </c>
      <c r="I84" s="0" t="n">
        <v>633.7</v>
      </c>
      <c r="J84" s="0" t="n">
        <v>634.9</v>
      </c>
      <c r="K84" s="0" t="n">
        <v>630.4</v>
      </c>
      <c r="L84" s="0" t="n">
        <v>653.9</v>
      </c>
      <c r="M84" s="0" t="n">
        <v>621.1</v>
      </c>
      <c r="N84" s="0" t="n">
        <v>640.2</v>
      </c>
      <c r="O84" s="0" t="n">
        <v>641.4</v>
      </c>
      <c r="P84" s="0" t="n">
        <v>623.7</v>
      </c>
      <c r="Q84" s="0" t="n">
        <v>628.1</v>
      </c>
      <c r="R84" s="0" t="n">
        <v>626.4</v>
      </c>
      <c r="S84" s="0" t="n">
        <v>642.8</v>
      </c>
      <c r="T84" s="0" t="n">
        <v>627.2</v>
      </c>
      <c r="U84" s="0" t="n">
        <v>631.7</v>
      </c>
      <c r="V84" s="0" t="n">
        <v>638.7</v>
      </c>
      <c r="W84" s="0" t="n">
        <v>625.8</v>
      </c>
      <c r="X84" s="6" t="n">
        <f aca="false">AVERAGE(D84:W84)</f>
        <v>632.835</v>
      </c>
      <c r="Y84" s="7" t="n">
        <f aca="false">_xlfn.STDEV.S(D84:W84)</f>
        <v>8.68690938923862</v>
      </c>
      <c r="Z84" s="7" t="n">
        <f aca="false">Y84/X84</f>
        <v>0.0137269736807203</v>
      </c>
    </row>
    <row r="85" customFormat="false" ht="16.75" hidden="false" customHeight="false" outlineLevel="0" collapsed="false">
      <c r="B85" s="4"/>
      <c r="C85" s="5" t="n">
        <v>150</v>
      </c>
      <c r="D85" s="0" t="n">
        <v>650.1</v>
      </c>
      <c r="E85" s="0" t="n">
        <v>656.8</v>
      </c>
      <c r="F85" s="0" t="n">
        <v>645.9</v>
      </c>
      <c r="G85" s="0" t="n">
        <v>651.8</v>
      </c>
      <c r="H85" s="0" t="n">
        <v>670.1</v>
      </c>
      <c r="I85" s="0" t="n">
        <v>652.2</v>
      </c>
      <c r="J85" s="0" t="n">
        <v>653.4</v>
      </c>
      <c r="K85" s="0" t="n">
        <v>659.1</v>
      </c>
      <c r="L85" s="0" t="n">
        <v>658.7</v>
      </c>
      <c r="M85" s="0" t="n">
        <v>649.1</v>
      </c>
      <c r="N85" s="0" t="n">
        <v>649.3</v>
      </c>
      <c r="O85" s="0" t="n">
        <v>654.6</v>
      </c>
      <c r="P85" s="0" t="n">
        <v>662.3</v>
      </c>
      <c r="Q85" s="0" t="n">
        <v>654.4</v>
      </c>
      <c r="R85" s="0" t="n">
        <v>651</v>
      </c>
      <c r="S85" s="0" t="n">
        <v>639.7</v>
      </c>
      <c r="T85" s="0" t="n">
        <v>653.3</v>
      </c>
      <c r="U85" s="0" t="n">
        <v>653.9</v>
      </c>
      <c r="V85" s="0" t="n">
        <v>644.1</v>
      </c>
      <c r="W85" s="0" t="n">
        <v>652</v>
      </c>
      <c r="X85" s="6" t="n">
        <f aca="false">AVERAGE(D85:W85)</f>
        <v>653.09</v>
      </c>
      <c r="Y85" s="7" t="n">
        <f aca="false">_xlfn.STDEV.S(D85:W85)</f>
        <v>6.5668946438296</v>
      </c>
      <c r="Z85" s="7" t="n">
        <f aca="false">Y85/X85</f>
        <v>0.0100551143698872</v>
      </c>
    </row>
    <row r="86" customFormat="false" ht="15" hidden="false" customHeight="true" outlineLevel="0" collapsed="false">
      <c r="A86" s="1" t="s">
        <v>32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695.9</v>
      </c>
      <c r="E91" s="0" t="n">
        <v>701.2</v>
      </c>
      <c r="F91" s="0" t="n">
        <v>699.3</v>
      </c>
      <c r="G91" s="0" t="n">
        <v>700.3</v>
      </c>
      <c r="H91" s="0" t="n">
        <v>712.5</v>
      </c>
      <c r="I91" s="0" t="n">
        <v>700.1</v>
      </c>
      <c r="J91" s="0" t="n">
        <v>701.3</v>
      </c>
      <c r="K91" s="0" t="n">
        <v>706.8</v>
      </c>
      <c r="L91" s="0" t="n">
        <v>699.4</v>
      </c>
      <c r="M91" s="0" t="n">
        <v>713.2</v>
      </c>
      <c r="N91" s="0" t="n">
        <v>711.7</v>
      </c>
      <c r="O91" s="0" t="n">
        <v>707.3</v>
      </c>
      <c r="P91" s="0" t="n">
        <v>698.5</v>
      </c>
      <c r="Q91" s="0" t="n">
        <v>705</v>
      </c>
      <c r="R91" s="0" t="n">
        <v>699.1</v>
      </c>
      <c r="S91" s="0" t="n">
        <v>698.6</v>
      </c>
      <c r="T91" s="0" t="n">
        <v>700</v>
      </c>
      <c r="U91" s="0" t="n">
        <v>710.8</v>
      </c>
      <c r="V91" s="0" t="n">
        <v>692.6</v>
      </c>
      <c r="W91" s="0" t="n">
        <v>703.3</v>
      </c>
      <c r="X91" s="6" t="n">
        <f aca="false">AVERAGE(D91:W91)</f>
        <v>702.845</v>
      </c>
      <c r="Y91" s="7" t="n">
        <f aca="false">_xlfn.STDEV.S(D91:W91)</f>
        <v>5.79577659298471</v>
      </c>
      <c r="Z91" s="7" t="n">
        <f aca="false">Y91/X91</f>
        <v>0.00824616607215633</v>
      </c>
    </row>
    <row r="92" customFormat="false" ht="16.75" hidden="false" customHeight="false" outlineLevel="0" collapsed="false">
      <c r="B92" s="4"/>
      <c r="C92" s="5" t="n">
        <v>25</v>
      </c>
      <c r="D92" s="0" t="n">
        <v>700.3</v>
      </c>
      <c r="E92" s="0" t="n">
        <v>705.2</v>
      </c>
      <c r="F92" s="0" t="n">
        <v>703.3</v>
      </c>
      <c r="G92" s="0" t="n">
        <v>698.7</v>
      </c>
      <c r="H92" s="0" t="n">
        <v>699.2</v>
      </c>
      <c r="I92" s="0" t="n">
        <v>712.3</v>
      </c>
      <c r="J92" s="0" t="n">
        <v>711.4</v>
      </c>
      <c r="K92" s="0" t="n">
        <v>700.7</v>
      </c>
      <c r="L92" s="0" t="n">
        <v>692.5</v>
      </c>
      <c r="M92" s="0" t="n">
        <v>706.4</v>
      </c>
      <c r="N92" s="0" t="n">
        <v>708.7</v>
      </c>
      <c r="O92" s="0" t="n">
        <v>711</v>
      </c>
      <c r="P92" s="0" t="n">
        <v>706.5</v>
      </c>
      <c r="Q92" s="0" t="n">
        <v>700.7</v>
      </c>
      <c r="R92" s="0" t="n">
        <v>698.5</v>
      </c>
      <c r="S92" s="0" t="n">
        <v>703.7</v>
      </c>
      <c r="T92" s="0" t="n">
        <v>702.6</v>
      </c>
      <c r="U92" s="0" t="n">
        <v>701</v>
      </c>
      <c r="V92" s="0" t="n">
        <v>703.6</v>
      </c>
      <c r="W92" s="0" t="n">
        <v>697.7</v>
      </c>
      <c r="X92" s="6" t="n">
        <f aca="false">AVERAGE(D92:W92)</f>
        <v>703.2</v>
      </c>
      <c r="Y92" s="7" t="n">
        <f aca="false">_xlfn.STDEV.S(D92:W92)</f>
        <v>5.10871288764802</v>
      </c>
      <c r="Z92" s="7" t="n">
        <f aca="false">Y92/X92</f>
        <v>0.00726495006775884</v>
      </c>
    </row>
    <row r="93" customFormat="false" ht="16.75" hidden="false" customHeight="false" outlineLevel="0" collapsed="false">
      <c r="B93" s="4"/>
      <c r="C93" s="5" t="n">
        <v>38</v>
      </c>
      <c r="D93" s="0" t="n">
        <v>705</v>
      </c>
      <c r="E93" s="0" t="n">
        <v>696.6</v>
      </c>
      <c r="F93" s="0" t="n">
        <v>694.8</v>
      </c>
      <c r="G93" s="0" t="n">
        <v>699.4</v>
      </c>
      <c r="H93" s="0" t="n">
        <v>696.3</v>
      </c>
      <c r="I93" s="0" t="n">
        <v>707.8</v>
      </c>
      <c r="J93" s="0" t="n">
        <v>703.9</v>
      </c>
      <c r="K93" s="0" t="n">
        <v>695.9</v>
      </c>
      <c r="L93" s="0" t="n">
        <v>709.7</v>
      </c>
      <c r="M93" s="0" t="n">
        <v>699.2</v>
      </c>
      <c r="N93" s="0" t="n">
        <v>698.8</v>
      </c>
      <c r="O93" s="0" t="n">
        <v>702.4</v>
      </c>
      <c r="P93" s="0" t="n">
        <v>708.7</v>
      </c>
      <c r="Q93" s="0" t="n">
        <v>697.9</v>
      </c>
      <c r="R93" s="0" t="n">
        <v>712.1</v>
      </c>
      <c r="S93" s="0" t="n">
        <v>696.5</v>
      </c>
      <c r="T93" s="0" t="n">
        <v>705.5</v>
      </c>
      <c r="U93" s="0" t="n">
        <v>710.3</v>
      </c>
      <c r="V93" s="0" t="n">
        <v>702.2</v>
      </c>
      <c r="W93" s="0" t="n">
        <v>702.8</v>
      </c>
      <c r="X93" s="6" t="n">
        <f aca="false">AVERAGE(D93:W93)</f>
        <v>702.29</v>
      </c>
      <c r="Y93" s="7" t="n">
        <f aca="false">_xlfn.STDEV.S(D93:W93)</f>
        <v>5.40632183554344</v>
      </c>
      <c r="Z93" s="7" t="n">
        <f aca="false">Y93/X93</f>
        <v>0.00769813301562523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639.8</v>
      </c>
      <c r="E94" s="0" t="n">
        <v>680.7</v>
      </c>
      <c r="F94" s="0" t="n">
        <v>650.9</v>
      </c>
      <c r="G94" s="0" t="n">
        <v>637.7</v>
      </c>
      <c r="H94" s="0" t="n">
        <v>640.7</v>
      </c>
      <c r="I94" s="0" t="n">
        <v>638.8</v>
      </c>
      <c r="J94" s="0" t="n">
        <v>669</v>
      </c>
      <c r="K94" s="0" t="n">
        <v>642.6</v>
      </c>
      <c r="L94" s="0" t="n">
        <v>660.2</v>
      </c>
      <c r="M94" s="0" t="n">
        <v>639.6</v>
      </c>
      <c r="N94" s="0" t="n">
        <v>635.2</v>
      </c>
      <c r="O94" s="0" t="n">
        <v>639</v>
      </c>
      <c r="P94" s="0" t="n">
        <v>670.8</v>
      </c>
      <c r="Q94" s="0" t="n">
        <v>655.5</v>
      </c>
      <c r="R94" s="0" t="n">
        <v>639</v>
      </c>
      <c r="S94" s="0" t="n">
        <v>648.8</v>
      </c>
      <c r="T94" s="0" t="n">
        <v>641.6</v>
      </c>
      <c r="U94" s="0" t="n">
        <v>641.9</v>
      </c>
      <c r="V94" s="0" t="n">
        <v>628.1</v>
      </c>
      <c r="W94" s="0" t="n">
        <v>657.2</v>
      </c>
      <c r="X94" s="6" t="n">
        <f aca="false">AVERAGE(D94:W94)</f>
        <v>647.855</v>
      </c>
      <c r="Y94" s="7" t="n">
        <f aca="false">_xlfn.STDEV.S(D94:W94)</f>
        <v>13.6487699465055</v>
      </c>
      <c r="Z94" s="7" t="n">
        <f aca="false">Y94/X94</f>
        <v>0.0210676307916208</v>
      </c>
    </row>
    <row r="95" customFormat="false" ht="16.75" hidden="false" customHeight="false" outlineLevel="0" collapsed="false">
      <c r="B95" s="4"/>
      <c r="C95" s="5" t="n">
        <v>63</v>
      </c>
      <c r="D95" s="0" t="n">
        <v>668.5</v>
      </c>
      <c r="E95" s="0" t="n">
        <v>674.9</v>
      </c>
      <c r="F95" s="0" t="n">
        <v>662.1</v>
      </c>
      <c r="G95" s="0" t="n">
        <v>660</v>
      </c>
      <c r="H95" s="0" t="n">
        <v>650.8</v>
      </c>
      <c r="I95" s="0" t="n">
        <v>665.8</v>
      </c>
      <c r="J95" s="0" t="n">
        <v>654</v>
      </c>
      <c r="K95" s="0" t="n">
        <v>657.5</v>
      </c>
      <c r="L95" s="0" t="n">
        <v>650.3</v>
      </c>
      <c r="M95" s="0" t="n">
        <v>650.1</v>
      </c>
      <c r="N95" s="0" t="n">
        <v>659.2</v>
      </c>
      <c r="O95" s="0" t="n">
        <v>650.5</v>
      </c>
      <c r="P95" s="0" t="n">
        <v>668.2</v>
      </c>
      <c r="Q95" s="0" t="n">
        <v>659.4</v>
      </c>
      <c r="R95" s="0" t="n">
        <v>659.6</v>
      </c>
      <c r="S95" s="0" t="n">
        <v>661.1</v>
      </c>
      <c r="T95" s="0" t="n">
        <v>654.4</v>
      </c>
      <c r="U95" s="0" t="n">
        <v>660.9</v>
      </c>
      <c r="V95" s="0" t="n">
        <v>654.1</v>
      </c>
      <c r="W95" s="0" t="n">
        <v>677.3</v>
      </c>
      <c r="X95" s="6" t="n">
        <f aca="false">AVERAGE(D95:W95)</f>
        <v>659.935</v>
      </c>
      <c r="Y95" s="7" t="n">
        <f aca="false">_xlfn.STDEV.S(D95:W95)</f>
        <v>7.87182016001248</v>
      </c>
      <c r="Z95" s="7" t="n">
        <f aca="false">Y95/X95</f>
        <v>0.0119281749869494</v>
      </c>
    </row>
    <row r="96" customFormat="false" ht="16.75" hidden="false" customHeight="false" outlineLevel="0" collapsed="false">
      <c r="B96" s="4"/>
      <c r="C96" s="5" t="n">
        <v>93</v>
      </c>
      <c r="D96" s="0" t="n">
        <v>659.3</v>
      </c>
      <c r="E96" s="0" t="n">
        <v>677.4</v>
      </c>
      <c r="F96" s="0" t="n">
        <v>665.2</v>
      </c>
      <c r="G96" s="0" t="n">
        <v>661.8</v>
      </c>
      <c r="H96" s="0" t="n">
        <v>666.3</v>
      </c>
      <c r="I96" s="0" t="n">
        <v>681.2</v>
      </c>
      <c r="J96" s="0" t="n">
        <v>679</v>
      </c>
      <c r="K96" s="0" t="n">
        <v>670.2</v>
      </c>
      <c r="L96" s="0" t="n">
        <v>671.5</v>
      </c>
      <c r="M96" s="0" t="n">
        <v>675.4</v>
      </c>
      <c r="N96" s="0" t="n">
        <v>666.6</v>
      </c>
      <c r="O96" s="0" t="n">
        <v>677.9</v>
      </c>
      <c r="P96" s="0" t="n">
        <v>668.2</v>
      </c>
      <c r="Q96" s="0" t="n">
        <v>675</v>
      </c>
      <c r="R96" s="0" t="n">
        <v>666.1</v>
      </c>
      <c r="S96" s="0" t="n">
        <v>679.9</v>
      </c>
      <c r="T96" s="0" t="n">
        <v>666.2</v>
      </c>
      <c r="U96" s="0" t="n">
        <v>669.3</v>
      </c>
      <c r="V96" s="0" t="n">
        <v>655.3</v>
      </c>
      <c r="W96" s="0" t="n">
        <v>669.2</v>
      </c>
      <c r="X96" s="6" t="n">
        <f aca="false">AVERAGE(D96:W96)</f>
        <v>670.05</v>
      </c>
      <c r="Y96" s="7" t="n">
        <f aca="false">_xlfn.STDEV.S(D96:W96)</f>
        <v>7.10133419636206</v>
      </c>
      <c r="Z96" s="7" t="n">
        <f aca="false">Y96/X96</f>
        <v>0.0105982153516335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553.6</v>
      </c>
      <c r="E97" s="0" t="n">
        <v>561.8</v>
      </c>
      <c r="F97" s="0" t="n">
        <v>603</v>
      </c>
      <c r="G97" s="0" t="n">
        <v>560.6</v>
      </c>
      <c r="H97" s="0" t="n">
        <v>582.4</v>
      </c>
      <c r="I97" s="0" t="n">
        <v>527.5</v>
      </c>
      <c r="J97" s="0" t="n">
        <v>559.5</v>
      </c>
      <c r="K97" s="0" t="n">
        <v>574.7</v>
      </c>
      <c r="L97" s="0" t="n">
        <v>585.8</v>
      </c>
      <c r="M97" s="0" t="n">
        <v>593.5</v>
      </c>
      <c r="N97" s="0" t="n">
        <v>546.6</v>
      </c>
      <c r="O97" s="0" t="n">
        <v>568.3</v>
      </c>
      <c r="P97" s="0" t="n">
        <v>547.9</v>
      </c>
      <c r="Q97" s="0" t="n">
        <v>545.6</v>
      </c>
      <c r="R97" s="0" t="n">
        <v>580.6</v>
      </c>
      <c r="S97" s="0" t="n">
        <v>540</v>
      </c>
      <c r="T97" s="0" t="n">
        <v>594.1</v>
      </c>
      <c r="U97" s="0" t="n">
        <v>560.7</v>
      </c>
      <c r="V97" s="0" t="n">
        <v>542.2</v>
      </c>
      <c r="W97" s="0" t="n">
        <v>576.9</v>
      </c>
      <c r="X97" s="6" t="n">
        <f aca="false">AVERAGE(D97:W97)</f>
        <v>565.265</v>
      </c>
      <c r="Y97" s="7" t="n">
        <f aca="false">_xlfn.STDEV.S(D97:W97)</f>
        <v>20.6394174489393</v>
      </c>
      <c r="Z97" s="7" t="n">
        <f aca="false">Y97/X97</f>
        <v>0.0365128169070069</v>
      </c>
    </row>
    <row r="98" customFormat="false" ht="16.75" hidden="false" customHeight="false" outlineLevel="0" collapsed="false">
      <c r="B98" s="4"/>
      <c r="C98" s="5" t="n">
        <v>38</v>
      </c>
      <c r="D98" s="0" t="n">
        <v>616.6</v>
      </c>
      <c r="E98" s="0" t="n">
        <v>580.4</v>
      </c>
      <c r="F98" s="0" t="n">
        <v>582</v>
      </c>
      <c r="G98" s="0" t="n">
        <v>587.7</v>
      </c>
      <c r="H98" s="0" t="n">
        <v>597.3</v>
      </c>
      <c r="I98" s="0" t="n">
        <v>616.1</v>
      </c>
      <c r="J98" s="0" t="n">
        <v>582.9</v>
      </c>
      <c r="K98" s="0" t="n">
        <v>613.8</v>
      </c>
      <c r="L98" s="0" t="n">
        <v>591.7</v>
      </c>
      <c r="M98" s="0" t="n">
        <v>615</v>
      </c>
      <c r="N98" s="0" t="n">
        <v>618.9</v>
      </c>
      <c r="O98" s="0" t="n">
        <v>612.6</v>
      </c>
      <c r="P98" s="0" t="n">
        <v>594.6</v>
      </c>
      <c r="Q98" s="0" t="n">
        <v>582.5</v>
      </c>
      <c r="R98" s="0" t="n">
        <v>595.9</v>
      </c>
      <c r="S98" s="0" t="n">
        <v>604.7</v>
      </c>
      <c r="T98" s="0" t="n">
        <v>617</v>
      </c>
      <c r="U98" s="0" t="n">
        <v>610.3</v>
      </c>
      <c r="V98" s="0" t="n">
        <v>590.9</v>
      </c>
      <c r="W98" s="0" t="n">
        <v>608.3</v>
      </c>
      <c r="X98" s="6" t="n">
        <f aca="false">AVERAGE(D98:W98)</f>
        <v>600.96</v>
      </c>
      <c r="Y98" s="7" t="n">
        <f aca="false">_xlfn.STDEV.S(D98:W98)</f>
        <v>13.7589932312231</v>
      </c>
      <c r="Z98" s="7" t="n">
        <f aca="false">Y98/X98</f>
        <v>0.0228950233480149</v>
      </c>
    </row>
    <row r="99" customFormat="false" ht="16.75" hidden="false" customHeight="false" outlineLevel="0" collapsed="false">
      <c r="B99" s="4"/>
      <c r="C99" s="5" t="n">
        <v>50</v>
      </c>
      <c r="D99" s="0" t="n">
        <v>597.4</v>
      </c>
      <c r="E99" s="0" t="n">
        <v>584</v>
      </c>
      <c r="F99" s="0" t="n">
        <v>597.6</v>
      </c>
      <c r="G99" s="0" t="n">
        <v>611.5</v>
      </c>
      <c r="H99" s="0" t="n">
        <v>587.4</v>
      </c>
      <c r="I99" s="0" t="n">
        <v>604.5</v>
      </c>
      <c r="J99" s="0" t="n">
        <v>579.8</v>
      </c>
      <c r="K99" s="0" t="n">
        <v>587.6</v>
      </c>
      <c r="L99" s="0" t="n">
        <v>609.5</v>
      </c>
      <c r="M99" s="0" t="n">
        <v>586</v>
      </c>
      <c r="N99" s="0" t="n">
        <v>604</v>
      </c>
      <c r="O99" s="0" t="n">
        <v>611.5</v>
      </c>
      <c r="P99" s="0" t="n">
        <v>603.5</v>
      </c>
      <c r="Q99" s="0" t="n">
        <v>624.5</v>
      </c>
      <c r="R99" s="0" t="n">
        <v>622.5</v>
      </c>
      <c r="S99" s="0" t="n">
        <v>603.5</v>
      </c>
      <c r="T99" s="0" t="n">
        <v>593.5</v>
      </c>
      <c r="U99" s="0" t="n">
        <v>615.8</v>
      </c>
      <c r="V99" s="0" t="n">
        <v>603.3</v>
      </c>
      <c r="W99" s="0" t="n">
        <v>627.4</v>
      </c>
      <c r="X99" s="6" t="n">
        <f aca="false">AVERAGE(D99:W99)</f>
        <v>602.74</v>
      </c>
      <c r="Y99" s="7" t="n">
        <f aca="false">_xlfn.STDEV.S(D99:W99)</f>
        <v>13.7849422044108</v>
      </c>
      <c r="Z99" s="7" t="n">
        <f aca="false">Y99/X99</f>
        <v>0.0228704618980171</v>
      </c>
    </row>
    <row r="100" customFormat="false" ht="16.75" hidden="false" customHeight="false" outlineLevel="0" collapsed="false">
      <c r="B100" s="4"/>
      <c r="C100" s="5" t="n">
        <v>75</v>
      </c>
      <c r="D100" s="0" t="n">
        <v>582.7</v>
      </c>
      <c r="E100" s="0" t="n">
        <v>600.5</v>
      </c>
      <c r="F100" s="0" t="n">
        <v>613.2</v>
      </c>
      <c r="G100" s="0" t="n">
        <v>593.3</v>
      </c>
      <c r="H100" s="0" t="n">
        <v>594.6</v>
      </c>
      <c r="I100" s="0" t="n">
        <v>611.4</v>
      </c>
      <c r="J100" s="0" t="n">
        <v>607.1</v>
      </c>
      <c r="K100" s="0" t="n">
        <v>605.3</v>
      </c>
      <c r="L100" s="0" t="n">
        <v>596.9</v>
      </c>
      <c r="M100" s="0" t="n">
        <v>624.6</v>
      </c>
      <c r="N100" s="0" t="n">
        <v>589.7</v>
      </c>
      <c r="O100" s="0" t="n">
        <v>590.4</v>
      </c>
      <c r="P100" s="0" t="n">
        <v>594.2</v>
      </c>
      <c r="Q100" s="0" t="n">
        <v>596.6</v>
      </c>
      <c r="R100" s="0" t="n">
        <v>600.6</v>
      </c>
      <c r="S100" s="0" t="n">
        <v>622.4</v>
      </c>
      <c r="T100" s="0" t="n">
        <v>607.4</v>
      </c>
      <c r="U100" s="0" t="n">
        <v>607.3</v>
      </c>
      <c r="V100" s="0" t="n">
        <v>600.4</v>
      </c>
      <c r="W100" s="0" t="n">
        <v>594</v>
      </c>
      <c r="X100" s="6" t="n">
        <f aca="false">AVERAGE(D100:W100)</f>
        <v>601.63</v>
      </c>
      <c r="Y100" s="7" t="n">
        <f aca="false">_xlfn.STDEV.S(D100:W100)</f>
        <v>10.7793711368179</v>
      </c>
      <c r="Z100" s="7" t="n">
        <f aca="false">Y100/X100</f>
        <v>0.0179169441962966</v>
      </c>
    </row>
    <row r="101" customFormat="false" ht="16.75" hidden="false" customHeight="false" outlineLevel="0" collapsed="false">
      <c r="B101" s="4"/>
      <c r="C101" s="5" t="n">
        <v>100</v>
      </c>
      <c r="D101" s="0" t="n">
        <v>622.5</v>
      </c>
      <c r="E101" s="0" t="n">
        <v>603.7</v>
      </c>
      <c r="F101" s="0" t="n">
        <v>611.7</v>
      </c>
      <c r="G101" s="0" t="n">
        <v>608.5</v>
      </c>
      <c r="H101" s="0" t="n">
        <v>607.3</v>
      </c>
      <c r="I101" s="0" t="n">
        <v>635</v>
      </c>
      <c r="J101" s="0" t="n">
        <v>634.3</v>
      </c>
      <c r="K101" s="0" t="n">
        <v>628.4</v>
      </c>
      <c r="L101" s="0" t="n">
        <v>628.2</v>
      </c>
      <c r="M101" s="0" t="n">
        <v>627.4</v>
      </c>
      <c r="N101" s="0" t="n">
        <v>624.1</v>
      </c>
      <c r="O101" s="0" t="n">
        <v>621.1</v>
      </c>
      <c r="P101" s="0" t="n">
        <v>627.1</v>
      </c>
      <c r="Q101" s="0" t="n">
        <v>632.1</v>
      </c>
      <c r="R101" s="0" t="n">
        <v>620.9</v>
      </c>
      <c r="S101" s="0" t="n">
        <v>599.7</v>
      </c>
      <c r="T101" s="0" t="n">
        <v>610.7</v>
      </c>
      <c r="U101" s="0" t="n">
        <v>610.3</v>
      </c>
      <c r="V101" s="0" t="n">
        <v>622.5</v>
      </c>
      <c r="W101" s="0" t="n">
        <v>620.4</v>
      </c>
      <c r="X101" s="6" t="n">
        <f aca="false">AVERAGE(D101:W101)</f>
        <v>619.795</v>
      </c>
      <c r="Y101" s="7" t="n">
        <f aca="false">_xlfn.STDEV.S(D101:W101)</f>
        <v>10.438565892628</v>
      </c>
      <c r="Z101" s="7" t="n">
        <f aca="false">Y101/X101</f>
        <v>0.0168419653153511</v>
      </c>
    </row>
    <row r="102" customFormat="false" ht="16.75" hidden="false" customHeight="false" outlineLevel="0" collapsed="false">
      <c r="B102" s="4"/>
      <c r="C102" s="5" t="n">
        <v>150</v>
      </c>
      <c r="D102" s="0" t="n">
        <v>628.4</v>
      </c>
      <c r="E102" s="0" t="n">
        <v>646</v>
      </c>
      <c r="F102" s="0" t="n">
        <v>626.5</v>
      </c>
      <c r="G102" s="0" t="n">
        <v>616.9</v>
      </c>
      <c r="H102" s="0" t="n">
        <v>621.3</v>
      </c>
      <c r="I102" s="0" t="n">
        <v>633</v>
      </c>
      <c r="J102" s="0" t="n">
        <v>623.2</v>
      </c>
      <c r="K102" s="0" t="n">
        <v>612.1</v>
      </c>
      <c r="L102" s="0" t="n">
        <v>623.4</v>
      </c>
      <c r="M102" s="0" t="n">
        <v>628.6</v>
      </c>
      <c r="N102" s="0" t="n">
        <v>612.3</v>
      </c>
      <c r="O102" s="0" t="n">
        <v>613.8</v>
      </c>
      <c r="P102" s="0" t="n">
        <v>625.6</v>
      </c>
      <c r="Q102" s="0" t="n">
        <v>606.6</v>
      </c>
      <c r="R102" s="0" t="n">
        <v>623.2</v>
      </c>
      <c r="S102" s="0" t="n">
        <v>615.3</v>
      </c>
      <c r="T102" s="0" t="n">
        <v>635.7</v>
      </c>
      <c r="U102" s="0" t="n">
        <v>640.8</v>
      </c>
      <c r="V102" s="0" t="n">
        <v>618.2</v>
      </c>
      <c r="W102" s="0" t="n">
        <v>621.4</v>
      </c>
      <c r="X102" s="6" t="n">
        <f aca="false">AVERAGE(D102:W102)</f>
        <v>623.615</v>
      </c>
      <c r="Y102" s="7" t="n">
        <f aca="false">_xlfn.STDEV.S(D102:W102)</f>
        <v>9.97688248956188</v>
      </c>
      <c r="Z102" s="7" t="n">
        <f aca="false">Y102/X102</f>
        <v>0.0159984645808101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Y91" activeCellId="0" sqref="Y9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33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805.6</v>
      </c>
      <c r="E6" s="0" t="n">
        <v>815</v>
      </c>
      <c r="F6" s="0" t="n">
        <v>813.8</v>
      </c>
      <c r="G6" s="0" t="n">
        <v>814.1</v>
      </c>
      <c r="H6" s="0" t="n">
        <v>807.3</v>
      </c>
      <c r="I6" s="0" t="n">
        <v>815.7</v>
      </c>
      <c r="J6" s="0" t="n">
        <v>822.4</v>
      </c>
      <c r="K6" s="0" t="n">
        <v>817.4</v>
      </c>
      <c r="L6" s="0" t="n">
        <v>808.1</v>
      </c>
      <c r="M6" s="0" t="n">
        <v>804.9</v>
      </c>
      <c r="N6" s="0" t="n">
        <v>824.2</v>
      </c>
      <c r="O6" s="0" t="n">
        <v>809.1</v>
      </c>
      <c r="P6" s="0" t="n">
        <v>815.9</v>
      </c>
      <c r="Q6" s="0" t="n">
        <v>809.4</v>
      </c>
      <c r="R6" s="0" t="n">
        <v>810.3</v>
      </c>
      <c r="S6" s="0" t="n">
        <v>811.6</v>
      </c>
      <c r="T6" s="0" t="n">
        <v>833.5</v>
      </c>
      <c r="U6" s="0" t="n">
        <v>804.4</v>
      </c>
      <c r="V6" s="0" t="n">
        <v>807</v>
      </c>
      <c r="W6" s="0" t="n">
        <v>802.5</v>
      </c>
      <c r="X6" s="6" t="n">
        <f aca="false">AVERAGE(D6:W6)</f>
        <v>812.61</v>
      </c>
      <c r="Y6" s="7" t="n">
        <f aca="false">_xlfn.STDEV.S(D6:W6)</f>
        <v>7.63102393626108</v>
      </c>
      <c r="Z6" s="7" t="n">
        <f aca="false">Y6/X6</f>
        <v>0.00939075809584066</v>
      </c>
    </row>
    <row r="7" customFormat="false" ht="16.75" hidden="false" customHeight="false" outlineLevel="0" collapsed="false">
      <c r="B7" s="4"/>
      <c r="C7" s="5" t="n">
        <v>25</v>
      </c>
      <c r="D7" s="0" t="n">
        <v>810.7</v>
      </c>
      <c r="E7" s="0" t="n">
        <v>832.2</v>
      </c>
      <c r="F7" s="0" t="n">
        <v>816.4</v>
      </c>
      <c r="G7" s="0" t="n">
        <v>812.8</v>
      </c>
      <c r="H7" s="0" t="n">
        <v>829.6</v>
      </c>
      <c r="I7" s="0" t="n">
        <v>805.6</v>
      </c>
      <c r="J7" s="0" t="n">
        <v>824.6</v>
      </c>
      <c r="K7" s="0" t="n">
        <v>835.6</v>
      </c>
      <c r="L7" s="0" t="n">
        <v>830.5</v>
      </c>
      <c r="M7" s="0" t="n">
        <v>834.6</v>
      </c>
      <c r="N7" s="0" t="n">
        <v>817.1</v>
      </c>
      <c r="O7" s="0" t="n">
        <v>802.9</v>
      </c>
      <c r="P7" s="0" t="n">
        <v>814.3</v>
      </c>
      <c r="Q7" s="0" t="n">
        <v>814.8</v>
      </c>
      <c r="R7" s="0" t="n">
        <v>808.1</v>
      </c>
      <c r="S7" s="0" t="n">
        <v>812.5</v>
      </c>
      <c r="T7" s="0" t="n">
        <v>819.3</v>
      </c>
      <c r="U7" s="0" t="n">
        <v>807.4</v>
      </c>
      <c r="V7" s="0" t="n">
        <v>814.3</v>
      </c>
      <c r="W7" s="0" t="n">
        <v>815.9</v>
      </c>
      <c r="X7" s="6" t="n">
        <f aca="false">AVERAGE(D7:W7)</f>
        <v>817.96</v>
      </c>
      <c r="Y7" s="7" t="n">
        <f aca="false">_xlfn.STDEV.S(D7:W7)</f>
        <v>9.92367716227472</v>
      </c>
      <c r="Z7" s="7" t="n">
        <f aca="false">Y7/X7</f>
        <v>0.0121322279356872</v>
      </c>
    </row>
    <row r="8" customFormat="false" ht="16.75" hidden="false" customHeight="false" outlineLevel="0" collapsed="false">
      <c r="B8" s="4"/>
      <c r="C8" s="5" t="n">
        <v>38</v>
      </c>
      <c r="D8" s="0" t="n">
        <v>854.9</v>
      </c>
      <c r="E8" s="0" t="n">
        <v>842.2</v>
      </c>
      <c r="F8" s="0" t="n">
        <v>858.6</v>
      </c>
      <c r="G8" s="0" t="n">
        <v>837.4</v>
      </c>
      <c r="H8" s="0" t="n">
        <v>849.5</v>
      </c>
      <c r="I8" s="0" t="n">
        <v>854.1</v>
      </c>
      <c r="J8" s="0" t="n">
        <v>873.9</v>
      </c>
      <c r="K8" s="0" t="n">
        <v>862.2</v>
      </c>
      <c r="L8" s="0" t="n">
        <v>840</v>
      </c>
      <c r="M8" s="0" t="n">
        <v>840.9</v>
      </c>
      <c r="N8" s="0" t="n">
        <v>839.7</v>
      </c>
      <c r="O8" s="0" t="n">
        <v>873.6</v>
      </c>
      <c r="P8" s="0" t="n">
        <v>839.2</v>
      </c>
      <c r="Q8" s="0" t="n">
        <v>833.2</v>
      </c>
      <c r="R8" s="0" t="n">
        <v>883</v>
      </c>
      <c r="S8" s="0" t="n">
        <v>850.9</v>
      </c>
      <c r="T8" s="0" t="n">
        <v>829.7</v>
      </c>
      <c r="U8" s="0" t="n">
        <v>842.5</v>
      </c>
      <c r="V8" s="0" t="n">
        <v>865.6</v>
      </c>
      <c r="W8" s="0" t="n">
        <v>880</v>
      </c>
      <c r="X8" s="6" t="n">
        <f aca="false">AVERAGE(D8:W8)</f>
        <v>852.555</v>
      </c>
      <c r="Y8" s="7" t="n">
        <f aca="false">_xlfn.STDEV.S(D8:W8)</f>
        <v>16.01047272388</v>
      </c>
      <c r="Z8" s="7" t="n">
        <f aca="false">Y8/X8</f>
        <v>0.0187794015915454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778.1</v>
      </c>
      <c r="E9" s="0" t="n">
        <v>796.2</v>
      </c>
      <c r="F9" s="0" t="n">
        <v>778</v>
      </c>
      <c r="G9" s="0" t="n">
        <v>785.4</v>
      </c>
      <c r="H9" s="0" t="n">
        <v>789.3</v>
      </c>
      <c r="I9" s="0" t="n">
        <v>808.6</v>
      </c>
      <c r="J9" s="0" t="n">
        <v>789.7</v>
      </c>
      <c r="K9" s="0" t="n">
        <v>801</v>
      </c>
      <c r="L9" s="0" t="n">
        <v>793</v>
      </c>
      <c r="M9" s="0" t="n">
        <v>783.6</v>
      </c>
      <c r="N9" s="0" t="n">
        <v>786.9</v>
      </c>
      <c r="O9" s="0" t="n">
        <v>810.9</v>
      </c>
      <c r="P9" s="0" t="n">
        <v>803.4</v>
      </c>
      <c r="Q9" s="0" t="n">
        <v>794.9</v>
      </c>
      <c r="R9" s="0" t="n">
        <v>801.4</v>
      </c>
      <c r="S9" s="0" t="n">
        <v>798.1</v>
      </c>
      <c r="T9" s="0" t="n">
        <v>783</v>
      </c>
      <c r="U9" s="0" t="n">
        <v>781.7</v>
      </c>
      <c r="V9" s="0" t="n">
        <v>782.1</v>
      </c>
      <c r="W9" s="0" t="n">
        <v>818.9</v>
      </c>
      <c r="X9" s="6" t="n">
        <f aca="false">AVERAGE(D9:W9)</f>
        <v>793.21</v>
      </c>
      <c r="Y9" s="7" t="n">
        <f aca="false">_xlfn.STDEV.S(D9:W9)</f>
        <v>11.5113170859216</v>
      </c>
      <c r="Z9" s="7" t="n">
        <f aca="false">Y9/X9</f>
        <v>0.0145123196706063</v>
      </c>
    </row>
    <row r="10" customFormat="false" ht="16.75" hidden="false" customHeight="false" outlineLevel="0" collapsed="false">
      <c r="B10" s="4"/>
      <c r="C10" s="5" t="n">
        <v>63</v>
      </c>
      <c r="D10" s="0" t="n">
        <v>830.1</v>
      </c>
      <c r="E10" s="0" t="n">
        <v>833.1</v>
      </c>
      <c r="F10" s="0" t="n">
        <v>823.7</v>
      </c>
      <c r="G10" s="0" t="n">
        <v>833.7</v>
      </c>
      <c r="H10" s="0" t="n">
        <v>832.9</v>
      </c>
      <c r="I10" s="0" t="n">
        <v>846.8</v>
      </c>
      <c r="J10" s="0" t="n">
        <v>834.9</v>
      </c>
      <c r="K10" s="0" t="n">
        <v>829</v>
      </c>
      <c r="L10" s="0" t="n">
        <v>829.6</v>
      </c>
      <c r="M10" s="0" t="n">
        <v>827</v>
      </c>
      <c r="N10" s="0" t="n">
        <v>840.5</v>
      </c>
      <c r="O10" s="0" t="n">
        <v>835.5</v>
      </c>
      <c r="P10" s="0" t="n">
        <v>827.4</v>
      </c>
      <c r="Q10" s="0" t="n">
        <v>835.6</v>
      </c>
      <c r="R10" s="0" t="n">
        <v>845.9</v>
      </c>
      <c r="S10" s="0" t="n">
        <v>848.9</v>
      </c>
      <c r="T10" s="0" t="n">
        <v>831</v>
      </c>
      <c r="U10" s="0" t="n">
        <v>848.5</v>
      </c>
      <c r="V10" s="0" t="n">
        <v>828.5</v>
      </c>
      <c r="W10" s="0" t="n">
        <v>825.3</v>
      </c>
      <c r="X10" s="6" t="n">
        <f aca="false">AVERAGE(D10:W10)</f>
        <v>834.395</v>
      </c>
      <c r="Y10" s="7" t="n">
        <f aca="false">_xlfn.STDEV.S(D10:W10)</f>
        <v>7.80596769010398</v>
      </c>
      <c r="Z10" s="7" t="n">
        <f aca="false">Y10/X10</f>
        <v>0.00935524264898996</v>
      </c>
    </row>
    <row r="11" customFormat="false" ht="16.75" hidden="false" customHeight="false" outlineLevel="0" collapsed="false">
      <c r="B11" s="4"/>
      <c r="C11" s="5" t="n">
        <v>93</v>
      </c>
      <c r="D11" s="0" t="n">
        <v>837.9</v>
      </c>
      <c r="E11" s="0" t="n">
        <v>861.9</v>
      </c>
      <c r="F11" s="0" t="n">
        <v>851</v>
      </c>
      <c r="G11" s="0" t="n">
        <v>854.9</v>
      </c>
      <c r="H11" s="0" t="n">
        <v>849.3</v>
      </c>
      <c r="I11" s="0" t="n">
        <v>853</v>
      </c>
      <c r="J11" s="0" t="n">
        <v>862.1</v>
      </c>
      <c r="K11" s="0" t="n">
        <v>856.2</v>
      </c>
      <c r="L11" s="0" t="n">
        <v>848.1</v>
      </c>
      <c r="M11" s="0" t="n">
        <v>841.6</v>
      </c>
      <c r="N11" s="0" t="n">
        <v>851.2</v>
      </c>
      <c r="O11" s="0" t="n">
        <v>857.6</v>
      </c>
      <c r="P11" s="0" t="n">
        <v>859.4</v>
      </c>
      <c r="Q11" s="0" t="n">
        <v>853.3</v>
      </c>
      <c r="R11" s="0" t="n">
        <v>857.8</v>
      </c>
      <c r="S11" s="0" t="n">
        <v>853.2</v>
      </c>
      <c r="T11" s="0" t="n">
        <v>860.2</v>
      </c>
      <c r="U11" s="0" t="n">
        <v>863</v>
      </c>
      <c r="V11" s="0" t="n">
        <v>858.8</v>
      </c>
      <c r="W11" s="0" t="n">
        <v>851.1</v>
      </c>
      <c r="X11" s="6" t="n">
        <f aca="false">AVERAGE(D11:W11)</f>
        <v>854.08</v>
      </c>
      <c r="Y11" s="7" t="n">
        <f aca="false">_xlfn.STDEV.S(D11:W11)</f>
        <v>6.60873425256702</v>
      </c>
      <c r="Z11" s="7" t="n">
        <f aca="false">Y11/X11</f>
        <v>0.00773783984236491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719.1</v>
      </c>
      <c r="E12" s="0" t="n">
        <v>726.8</v>
      </c>
      <c r="F12" s="0" t="n">
        <v>708.9</v>
      </c>
      <c r="G12" s="0" t="n">
        <v>709.9</v>
      </c>
      <c r="H12" s="0" t="n">
        <v>720</v>
      </c>
      <c r="I12" s="0" t="n">
        <v>714.3</v>
      </c>
      <c r="J12" s="0" t="n">
        <v>704.5</v>
      </c>
      <c r="K12" s="0" t="n">
        <v>723</v>
      </c>
      <c r="L12" s="0" t="n">
        <v>729.6</v>
      </c>
      <c r="M12" s="0" t="n">
        <v>746.8</v>
      </c>
      <c r="N12" s="0" t="n">
        <v>752</v>
      </c>
      <c r="O12" s="0" t="n">
        <v>686.9</v>
      </c>
      <c r="P12" s="0" t="n">
        <v>704.8</v>
      </c>
      <c r="Q12" s="0" t="n">
        <v>711.9</v>
      </c>
      <c r="R12" s="0" t="n">
        <v>738.7</v>
      </c>
      <c r="S12" s="0" t="n">
        <v>697.3</v>
      </c>
      <c r="T12" s="0" t="n">
        <v>676.6</v>
      </c>
      <c r="U12" s="0" t="n">
        <v>691.5</v>
      </c>
      <c r="V12" s="0" t="n">
        <v>668.2</v>
      </c>
      <c r="W12" s="0" t="n">
        <v>708.4</v>
      </c>
      <c r="X12" s="6" t="n">
        <f aca="false">AVERAGE(D12:W12)</f>
        <v>711.96</v>
      </c>
      <c r="Y12" s="7" t="n">
        <f aca="false">_xlfn.STDEV.S(D12:W12)</f>
        <v>21.6021782527401</v>
      </c>
      <c r="Z12" s="7" t="n">
        <f aca="false">Y12/X12</f>
        <v>0.03034184259332</v>
      </c>
    </row>
    <row r="13" customFormat="false" ht="16.75" hidden="false" customHeight="false" outlineLevel="0" collapsed="false">
      <c r="B13" s="4"/>
      <c r="C13" s="5" t="n">
        <v>38</v>
      </c>
      <c r="D13" s="0" t="n">
        <v>724.9</v>
      </c>
      <c r="E13" s="0" t="n">
        <v>756.8</v>
      </c>
      <c r="F13" s="0" t="n">
        <v>767.2</v>
      </c>
      <c r="G13" s="0" t="n">
        <v>750.4</v>
      </c>
      <c r="H13" s="0" t="n">
        <v>731.4</v>
      </c>
      <c r="I13" s="0" t="n">
        <v>771.1</v>
      </c>
      <c r="J13" s="0" t="n">
        <v>735.8</v>
      </c>
      <c r="K13" s="0" t="n">
        <v>733.4</v>
      </c>
      <c r="L13" s="0" t="n">
        <v>775.7</v>
      </c>
      <c r="M13" s="0" t="n">
        <v>771.1</v>
      </c>
      <c r="N13" s="0" t="n">
        <v>763.3</v>
      </c>
      <c r="O13" s="0" t="n">
        <v>747.9</v>
      </c>
      <c r="P13" s="0" t="n">
        <v>736.7</v>
      </c>
      <c r="Q13" s="0" t="n">
        <v>756.9</v>
      </c>
      <c r="R13" s="0" t="n">
        <v>729.4</v>
      </c>
      <c r="S13" s="0" t="n">
        <v>765.1</v>
      </c>
      <c r="T13" s="0" t="n">
        <v>757</v>
      </c>
      <c r="U13" s="0" t="n">
        <v>764.4</v>
      </c>
      <c r="V13" s="0" t="n">
        <v>758.3</v>
      </c>
      <c r="W13" s="0" t="n">
        <v>755.7</v>
      </c>
      <c r="X13" s="6" t="n">
        <f aca="false">AVERAGE(D13:W13)</f>
        <v>752.625</v>
      </c>
      <c r="Y13" s="7" t="n">
        <f aca="false">_xlfn.STDEV.S(D13:W13)</f>
        <v>15.6009741598672</v>
      </c>
      <c r="Z13" s="7" t="n">
        <f aca="false">Y13/X13</f>
        <v>0.0207287482609097</v>
      </c>
    </row>
    <row r="14" customFormat="false" ht="16.75" hidden="false" customHeight="false" outlineLevel="0" collapsed="false">
      <c r="B14" s="4"/>
      <c r="C14" s="5" t="n">
        <v>50</v>
      </c>
      <c r="D14" s="0" t="n">
        <v>765</v>
      </c>
      <c r="E14" s="0" t="n">
        <v>766.7</v>
      </c>
      <c r="F14" s="0" t="n">
        <v>783.6</v>
      </c>
      <c r="G14" s="0" t="n">
        <v>770.2</v>
      </c>
      <c r="H14" s="0" t="n">
        <v>775.6</v>
      </c>
      <c r="I14" s="0" t="n">
        <v>774</v>
      </c>
      <c r="J14" s="0" t="n">
        <v>760.1</v>
      </c>
      <c r="K14" s="0" t="n">
        <v>739.1</v>
      </c>
      <c r="L14" s="0" t="n">
        <v>774.7</v>
      </c>
      <c r="M14" s="0" t="n">
        <v>762.1</v>
      </c>
      <c r="N14" s="0" t="n">
        <v>766</v>
      </c>
      <c r="O14" s="0" t="n">
        <v>742.2</v>
      </c>
      <c r="P14" s="0" t="n">
        <v>778.9</v>
      </c>
      <c r="Q14" s="0" t="n">
        <v>789.3</v>
      </c>
      <c r="R14" s="0" t="n">
        <v>769.9</v>
      </c>
      <c r="S14" s="0" t="n">
        <v>788.4</v>
      </c>
      <c r="T14" s="0" t="n">
        <v>777</v>
      </c>
      <c r="U14" s="0" t="n">
        <v>768.3</v>
      </c>
      <c r="V14" s="0" t="n">
        <v>789.4</v>
      </c>
      <c r="W14" s="0" t="n">
        <v>757.2</v>
      </c>
      <c r="X14" s="6" t="n">
        <f aca="false">AVERAGE(D14:W14)</f>
        <v>769.885</v>
      </c>
      <c r="Y14" s="7" t="n">
        <f aca="false">_xlfn.STDEV.S(D14:W14)</f>
        <v>13.7199537746651</v>
      </c>
      <c r="Z14" s="7" t="n">
        <f aca="false">Y14/X14</f>
        <v>0.0178207833308417</v>
      </c>
    </row>
    <row r="15" customFormat="false" ht="16.75" hidden="false" customHeight="false" outlineLevel="0" collapsed="false">
      <c r="B15" s="4"/>
      <c r="C15" s="5" t="n">
        <v>75</v>
      </c>
      <c r="D15" s="0" t="n">
        <v>809.3</v>
      </c>
      <c r="E15" s="0" t="n">
        <v>802.3</v>
      </c>
      <c r="F15" s="0" t="n">
        <v>767</v>
      </c>
      <c r="G15" s="0" t="n">
        <v>798.8</v>
      </c>
      <c r="H15" s="0" t="n">
        <v>794.8</v>
      </c>
      <c r="I15" s="0" t="n">
        <v>805.2</v>
      </c>
      <c r="J15" s="0" t="n">
        <v>784.4</v>
      </c>
      <c r="K15" s="0" t="n">
        <v>803.4</v>
      </c>
      <c r="L15" s="0" t="n">
        <v>800.1</v>
      </c>
      <c r="M15" s="0" t="n">
        <v>798.4</v>
      </c>
      <c r="N15" s="0" t="n">
        <v>788.3</v>
      </c>
      <c r="O15" s="0" t="n">
        <v>782.2</v>
      </c>
      <c r="P15" s="0" t="n">
        <v>801.6</v>
      </c>
      <c r="Q15" s="0" t="n">
        <v>797.2</v>
      </c>
      <c r="R15" s="0" t="n">
        <v>783</v>
      </c>
      <c r="S15" s="0" t="n">
        <v>793.5</v>
      </c>
      <c r="T15" s="0" t="n">
        <v>810.6</v>
      </c>
      <c r="U15" s="0" t="n">
        <v>808.5</v>
      </c>
      <c r="V15" s="0" t="n">
        <v>795.5</v>
      </c>
      <c r="W15" s="0" t="n">
        <v>786</v>
      </c>
      <c r="X15" s="6" t="n">
        <f aca="false">AVERAGE(D15:W15)</f>
        <v>795.505</v>
      </c>
      <c r="Y15" s="7" t="n">
        <f aca="false">_xlfn.STDEV.S(D15:W15)</f>
        <v>10.9686862908631</v>
      </c>
      <c r="Z15" s="7" t="n">
        <f aca="false">Y15/X15</f>
        <v>0.0137883310486585</v>
      </c>
    </row>
    <row r="16" customFormat="false" ht="16.75" hidden="false" customHeight="false" outlineLevel="0" collapsed="false">
      <c r="B16" s="4"/>
      <c r="C16" s="5" t="n">
        <v>100</v>
      </c>
      <c r="D16" s="0" t="n">
        <v>806.9</v>
      </c>
      <c r="E16" s="0" t="n">
        <v>791.7</v>
      </c>
      <c r="F16" s="0" t="n">
        <v>811.8</v>
      </c>
      <c r="G16" s="0" t="n">
        <v>786.4</v>
      </c>
      <c r="H16" s="0" t="n">
        <v>733.2</v>
      </c>
      <c r="I16" s="0" t="n">
        <v>815.7</v>
      </c>
      <c r="J16" s="0" t="n">
        <v>790.5</v>
      </c>
      <c r="K16" s="0" t="n">
        <v>759.8</v>
      </c>
      <c r="L16" s="0" t="n">
        <v>801.2</v>
      </c>
      <c r="M16" s="0" t="n">
        <v>776.8</v>
      </c>
      <c r="N16" s="0" t="n">
        <v>786.5</v>
      </c>
      <c r="O16" s="0" t="n">
        <v>745.7</v>
      </c>
      <c r="P16" s="0" t="n">
        <v>765.1</v>
      </c>
      <c r="Q16" s="0" t="n">
        <v>814.9</v>
      </c>
      <c r="R16" s="0" t="n">
        <v>790.5</v>
      </c>
      <c r="S16" s="0" t="n">
        <v>816.5</v>
      </c>
      <c r="T16" s="0" t="n">
        <v>786.5</v>
      </c>
      <c r="U16" s="0" t="n">
        <v>786.6</v>
      </c>
      <c r="V16" s="0" t="n">
        <v>805.5</v>
      </c>
      <c r="W16" s="0" t="n">
        <v>805.1</v>
      </c>
      <c r="X16" s="6" t="n">
        <f aca="false">AVERAGE(D16:W16)</f>
        <v>788.845</v>
      </c>
      <c r="Y16" s="7" t="n">
        <f aca="false">_xlfn.STDEV.S(D16:W16)</f>
        <v>23.2356911260514</v>
      </c>
      <c r="Z16" s="7" t="n">
        <f aca="false">Y16/X16</f>
        <v>0.0294553316887999</v>
      </c>
    </row>
    <row r="17" customFormat="false" ht="16.75" hidden="false" customHeight="false" outlineLevel="0" collapsed="false">
      <c r="B17" s="4"/>
      <c r="C17" s="5" t="n">
        <v>150</v>
      </c>
      <c r="D17" s="0" t="n">
        <v>644.9</v>
      </c>
      <c r="E17" s="0" t="n">
        <v>662.7</v>
      </c>
      <c r="F17" s="0" t="n">
        <v>776</v>
      </c>
      <c r="G17" s="0" t="n">
        <v>766.8</v>
      </c>
      <c r="H17" s="0" t="n">
        <v>604.4</v>
      </c>
      <c r="I17" s="0" t="n">
        <v>831.3</v>
      </c>
      <c r="J17" s="0" t="n">
        <v>819.2</v>
      </c>
      <c r="K17" s="0" t="n">
        <v>789.3</v>
      </c>
      <c r="L17" s="0" t="n">
        <v>599.4</v>
      </c>
      <c r="M17" s="0" t="n">
        <v>642.5</v>
      </c>
      <c r="N17" s="0" t="n">
        <v>805.8</v>
      </c>
      <c r="O17" s="0" t="n">
        <v>827.3</v>
      </c>
      <c r="P17" s="0" t="n">
        <v>826.5</v>
      </c>
      <c r="Q17" s="0" t="n">
        <v>790.4</v>
      </c>
      <c r="R17" s="0" t="n">
        <v>687.9</v>
      </c>
      <c r="S17" s="0" t="n">
        <v>650.7</v>
      </c>
      <c r="T17" s="0" t="n">
        <v>626.1</v>
      </c>
      <c r="U17" s="0" t="n">
        <v>807.7</v>
      </c>
      <c r="V17" s="0" t="n">
        <v>764.2</v>
      </c>
      <c r="W17" s="0" t="n">
        <v>819.3</v>
      </c>
      <c r="X17" s="6" t="n">
        <f aca="false">AVERAGE(D17:W17)</f>
        <v>737.12</v>
      </c>
      <c r="Y17" s="7" t="n">
        <f aca="false">_xlfn.STDEV.S(D17:W17)</f>
        <v>85.4281206013201</v>
      </c>
      <c r="Z17" s="7" t="n">
        <f aca="false">Y17/X17</f>
        <v>0.115894454907369</v>
      </c>
    </row>
    <row r="18" customFormat="false" ht="15" hidden="false" customHeight="true" outlineLevel="0" collapsed="false">
      <c r="A18" s="1" t="s">
        <v>33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809.8</v>
      </c>
      <c r="E23" s="0" t="n">
        <v>816.4</v>
      </c>
      <c r="F23" s="0" t="n">
        <v>825.5</v>
      </c>
      <c r="G23" s="0" t="n">
        <v>830</v>
      </c>
      <c r="H23" s="0" t="n">
        <v>822.2</v>
      </c>
      <c r="I23" s="0" t="n">
        <v>818.7</v>
      </c>
      <c r="J23" s="0" t="n">
        <v>816.9</v>
      </c>
      <c r="K23" s="0" t="n">
        <v>819.8</v>
      </c>
      <c r="L23" s="0" t="n">
        <v>821</v>
      </c>
      <c r="M23" s="0" t="n">
        <v>822.3</v>
      </c>
      <c r="N23" s="0" t="n">
        <v>825.4</v>
      </c>
      <c r="O23" s="0" t="n">
        <v>816.3</v>
      </c>
      <c r="P23" s="0" t="n">
        <v>820.2</v>
      </c>
      <c r="Q23" s="0" t="n">
        <v>836.8</v>
      </c>
      <c r="R23" s="0" t="n">
        <v>815.1</v>
      </c>
      <c r="S23" s="0" t="n">
        <v>823.4</v>
      </c>
      <c r="T23" s="0" t="n">
        <v>817.4</v>
      </c>
      <c r="U23" s="0" t="n">
        <v>826.5</v>
      </c>
      <c r="V23" s="0" t="n">
        <v>824.8</v>
      </c>
      <c r="W23" s="0" t="n">
        <v>815.5</v>
      </c>
      <c r="X23" s="6" t="n">
        <f aca="false">AVERAGE(D23:W23)</f>
        <v>821.2</v>
      </c>
      <c r="Y23" s="7" t="n">
        <f aca="false">_xlfn.STDEV.S(D23:W23)</f>
        <v>6.04335215448826</v>
      </c>
      <c r="Z23" s="7" t="n">
        <f aca="false">Y23/X23</f>
        <v>0.00735917213162233</v>
      </c>
    </row>
    <row r="24" customFormat="false" ht="16.75" hidden="false" customHeight="false" outlineLevel="0" collapsed="false">
      <c r="B24" s="4"/>
      <c r="C24" s="5" t="n">
        <v>25</v>
      </c>
      <c r="D24" s="0" t="n">
        <v>846.7</v>
      </c>
      <c r="E24" s="0" t="n">
        <v>846.8</v>
      </c>
      <c r="F24" s="0" t="n">
        <v>841.4</v>
      </c>
      <c r="G24" s="0" t="n">
        <v>844.8</v>
      </c>
      <c r="H24" s="0" t="n">
        <v>852.5</v>
      </c>
      <c r="I24" s="0" t="n">
        <v>844.1</v>
      </c>
      <c r="J24" s="0" t="n">
        <v>838.8</v>
      </c>
      <c r="K24" s="0" t="n">
        <v>850.9</v>
      </c>
      <c r="L24" s="0" t="n">
        <v>847</v>
      </c>
      <c r="M24" s="0" t="n">
        <v>858.8</v>
      </c>
      <c r="N24" s="0" t="n">
        <v>841.4</v>
      </c>
      <c r="O24" s="0" t="n">
        <v>838.7</v>
      </c>
      <c r="P24" s="0" t="n">
        <v>858.6</v>
      </c>
      <c r="Q24" s="0" t="n">
        <v>842.6</v>
      </c>
      <c r="R24" s="0" t="n">
        <v>843.1</v>
      </c>
      <c r="S24" s="0" t="n">
        <v>849.5</v>
      </c>
      <c r="T24" s="0" t="n">
        <v>841.2</v>
      </c>
      <c r="U24" s="0" t="n">
        <v>865.8</v>
      </c>
      <c r="V24" s="0" t="n">
        <v>851.5</v>
      </c>
      <c r="W24" s="0" t="n">
        <v>841.9</v>
      </c>
      <c r="X24" s="6" t="n">
        <f aca="false">AVERAGE(D24:W24)</f>
        <v>847.305</v>
      </c>
      <c r="Y24" s="7" t="n">
        <f aca="false">_xlfn.STDEV.S(D24:W24)</f>
        <v>7.26849546438528</v>
      </c>
      <c r="Z24" s="7" t="n">
        <f aca="false">Y24/X24</f>
        <v>0.00857836961234181</v>
      </c>
    </row>
    <row r="25" customFormat="false" ht="16.75" hidden="false" customHeight="false" outlineLevel="0" collapsed="false">
      <c r="B25" s="4"/>
      <c r="C25" s="5" t="n">
        <v>38</v>
      </c>
      <c r="D25" s="0" t="n">
        <v>873.3</v>
      </c>
      <c r="E25" s="0" t="n">
        <v>869.2</v>
      </c>
      <c r="F25" s="0" t="n">
        <v>854.3</v>
      </c>
      <c r="G25" s="0" t="n">
        <v>853.9</v>
      </c>
      <c r="H25" s="0" t="n">
        <v>868.5</v>
      </c>
      <c r="I25" s="0" t="n">
        <v>862.2</v>
      </c>
      <c r="J25" s="0" t="n">
        <v>864.3</v>
      </c>
      <c r="K25" s="0" t="n">
        <v>881.1</v>
      </c>
      <c r="L25" s="0" t="n">
        <v>862.1</v>
      </c>
      <c r="M25" s="0" t="n">
        <v>860.4</v>
      </c>
      <c r="N25" s="0" t="n">
        <v>862.7</v>
      </c>
      <c r="O25" s="0" t="n">
        <v>858.5</v>
      </c>
      <c r="P25" s="0" t="n">
        <v>863.8</v>
      </c>
      <c r="Q25" s="0" t="n">
        <v>864.1</v>
      </c>
      <c r="R25" s="0" t="n">
        <v>858.8</v>
      </c>
      <c r="S25" s="0" t="n">
        <v>863.4</v>
      </c>
      <c r="T25" s="0" t="n">
        <v>853.8</v>
      </c>
      <c r="U25" s="0" t="n">
        <v>862.7</v>
      </c>
      <c r="V25" s="0" t="n">
        <v>884.5</v>
      </c>
      <c r="W25" s="0" t="n">
        <v>874.4</v>
      </c>
      <c r="X25" s="6" t="n">
        <f aca="false">AVERAGE(D25:W25)</f>
        <v>864.8</v>
      </c>
      <c r="Y25" s="7" t="n">
        <f aca="false">_xlfn.STDEV.S(D25:W25)</f>
        <v>8.3443015538182</v>
      </c>
      <c r="Z25" s="7" t="n">
        <f aca="false">Y25/X25</f>
        <v>0.00964882233327729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785.2</v>
      </c>
      <c r="E26" s="0" t="n">
        <v>798.5</v>
      </c>
      <c r="F26" s="0" t="n">
        <v>780.8</v>
      </c>
      <c r="G26" s="0" t="n">
        <v>775.5</v>
      </c>
      <c r="H26" s="0" t="n">
        <v>781.1</v>
      </c>
      <c r="I26" s="0" t="n">
        <v>775.5</v>
      </c>
      <c r="J26" s="0" t="n">
        <v>773.3</v>
      </c>
      <c r="K26" s="0" t="n">
        <v>767.4</v>
      </c>
      <c r="L26" s="0" t="n">
        <v>781</v>
      </c>
      <c r="M26" s="0" t="n">
        <v>803</v>
      </c>
      <c r="N26" s="0" t="n">
        <v>783.7</v>
      </c>
      <c r="O26" s="0" t="n">
        <v>793</v>
      </c>
      <c r="P26" s="0" t="n">
        <v>811.1</v>
      </c>
      <c r="Q26" s="0" t="n">
        <v>778.5</v>
      </c>
      <c r="R26" s="0" t="n">
        <v>781.4</v>
      </c>
      <c r="S26" s="0" t="n">
        <v>804.9</v>
      </c>
      <c r="T26" s="0" t="n">
        <v>771.8</v>
      </c>
      <c r="U26" s="0" t="n">
        <v>799.8</v>
      </c>
      <c r="V26" s="0" t="n">
        <v>796.8</v>
      </c>
      <c r="W26" s="0" t="n">
        <v>784</v>
      </c>
      <c r="X26" s="6" t="n">
        <f aca="false">AVERAGE(D26:W26)</f>
        <v>786.315</v>
      </c>
      <c r="Y26" s="7" t="n">
        <f aca="false">_xlfn.STDEV.S(D26:W26)</f>
        <v>12.3103411812996</v>
      </c>
      <c r="Z26" s="7" t="n">
        <f aca="false">Y26/X26</f>
        <v>0.0156557374351241</v>
      </c>
    </row>
    <row r="27" customFormat="false" ht="16.75" hidden="false" customHeight="false" outlineLevel="0" collapsed="false">
      <c r="B27" s="4"/>
      <c r="C27" s="5" t="n">
        <v>63</v>
      </c>
      <c r="D27" s="0" t="n">
        <v>844.3</v>
      </c>
      <c r="E27" s="0" t="n">
        <v>832.5</v>
      </c>
      <c r="F27" s="0" t="n">
        <v>835.9</v>
      </c>
      <c r="G27" s="0" t="n">
        <v>830.5</v>
      </c>
      <c r="H27" s="0" t="n">
        <v>827.7</v>
      </c>
      <c r="I27" s="0" t="n">
        <v>828.3</v>
      </c>
      <c r="J27" s="0" t="n">
        <v>841.4</v>
      </c>
      <c r="K27" s="0" t="n">
        <v>838.6</v>
      </c>
      <c r="L27" s="0" t="n">
        <v>823.4</v>
      </c>
      <c r="M27" s="0" t="n">
        <v>824.7</v>
      </c>
      <c r="N27" s="0" t="n">
        <v>828.3</v>
      </c>
      <c r="O27" s="0" t="n">
        <v>832.2</v>
      </c>
      <c r="P27" s="0" t="n">
        <v>826.7</v>
      </c>
      <c r="Q27" s="0" t="n">
        <v>840.5</v>
      </c>
      <c r="R27" s="0" t="n">
        <v>823.8</v>
      </c>
      <c r="S27" s="0" t="n">
        <v>826.9</v>
      </c>
      <c r="T27" s="0" t="n">
        <v>823.9</v>
      </c>
      <c r="U27" s="0" t="n">
        <v>829.2</v>
      </c>
      <c r="V27" s="0" t="n">
        <v>822.3</v>
      </c>
      <c r="W27" s="0" t="n">
        <v>837.4</v>
      </c>
      <c r="X27" s="6" t="n">
        <f aca="false">AVERAGE(D27:W27)</f>
        <v>830.925</v>
      </c>
      <c r="Y27" s="7" t="n">
        <f aca="false">_xlfn.STDEV.S(D27:W27)</f>
        <v>6.65407473104381</v>
      </c>
      <c r="Z27" s="7" t="n">
        <f aca="false">Y27/X27</f>
        <v>0.00800803289231136</v>
      </c>
    </row>
    <row r="28" customFormat="false" ht="16.75" hidden="false" customHeight="false" outlineLevel="0" collapsed="false">
      <c r="B28" s="4"/>
      <c r="C28" s="5" t="n">
        <v>93</v>
      </c>
      <c r="D28" s="0" t="n">
        <v>850</v>
      </c>
      <c r="E28" s="0" t="n">
        <v>842.9</v>
      </c>
      <c r="F28" s="0" t="n">
        <v>846.8</v>
      </c>
      <c r="G28" s="0" t="n">
        <v>847.3</v>
      </c>
      <c r="H28" s="0" t="n">
        <v>842.1</v>
      </c>
      <c r="I28" s="0" t="n">
        <v>850.2</v>
      </c>
      <c r="J28" s="0" t="n">
        <v>844.7</v>
      </c>
      <c r="K28" s="0" t="n">
        <v>846.5</v>
      </c>
      <c r="L28" s="0" t="n">
        <v>851.7</v>
      </c>
      <c r="M28" s="0" t="n">
        <v>851.7</v>
      </c>
      <c r="N28" s="0" t="n">
        <v>853.3</v>
      </c>
      <c r="O28" s="0" t="n">
        <v>850.8</v>
      </c>
      <c r="P28" s="0" t="n">
        <v>851.7</v>
      </c>
      <c r="Q28" s="0" t="n">
        <v>852.4</v>
      </c>
      <c r="R28" s="0" t="n">
        <v>854.2</v>
      </c>
      <c r="S28" s="0" t="n">
        <v>843.7</v>
      </c>
      <c r="T28" s="0" t="n">
        <v>856</v>
      </c>
      <c r="U28" s="0" t="n">
        <v>846.2</v>
      </c>
      <c r="V28" s="0" t="n">
        <v>851.5</v>
      </c>
      <c r="W28" s="0" t="n">
        <v>848.4</v>
      </c>
      <c r="X28" s="6" t="n">
        <f aca="false">AVERAGE(D28:W28)</f>
        <v>849.105</v>
      </c>
      <c r="Y28" s="7" t="n">
        <f aca="false">_xlfn.STDEV.S(D28:W28)</f>
        <v>3.92863643145129</v>
      </c>
      <c r="Z28" s="7" t="n">
        <f aca="false">Y28/X28</f>
        <v>0.00462679695850488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726.6</v>
      </c>
      <c r="E29" s="0" t="n">
        <v>744.2</v>
      </c>
      <c r="F29" s="0" t="n">
        <v>749.9</v>
      </c>
      <c r="G29" s="0" t="n">
        <v>701.9</v>
      </c>
      <c r="H29" s="0" t="n">
        <v>731.9</v>
      </c>
      <c r="I29" s="0" t="n">
        <v>708.6</v>
      </c>
      <c r="J29" s="0" t="n">
        <v>714</v>
      </c>
      <c r="K29" s="0" t="n">
        <v>702.4</v>
      </c>
      <c r="L29" s="0" t="n">
        <v>742.2</v>
      </c>
      <c r="M29" s="0" t="n">
        <v>713.1</v>
      </c>
      <c r="N29" s="0" t="n">
        <v>733.9</v>
      </c>
      <c r="O29" s="0" t="n">
        <v>696</v>
      </c>
      <c r="P29" s="0" t="n">
        <v>727.4</v>
      </c>
      <c r="Q29" s="0" t="n">
        <v>738.1</v>
      </c>
      <c r="R29" s="0" t="n">
        <v>711.1</v>
      </c>
      <c r="S29" s="0" t="n">
        <v>734</v>
      </c>
      <c r="T29" s="0" t="n">
        <v>710.9</v>
      </c>
      <c r="U29" s="0" t="n">
        <v>744</v>
      </c>
      <c r="V29" s="0" t="n">
        <v>729.2</v>
      </c>
      <c r="W29" s="0" t="n">
        <v>700.2</v>
      </c>
      <c r="X29" s="6" t="n">
        <f aca="false">AVERAGE(D29:W29)</f>
        <v>722.98</v>
      </c>
      <c r="Y29" s="7" t="n">
        <f aca="false">_xlfn.STDEV.S(D29:W29)</f>
        <v>16.8480390862745</v>
      </c>
      <c r="Z29" s="7" t="n">
        <f aca="false">Y29/X29</f>
        <v>0.0233036032618806</v>
      </c>
    </row>
    <row r="30" customFormat="false" ht="16.75" hidden="false" customHeight="false" outlineLevel="0" collapsed="false">
      <c r="B30" s="4"/>
      <c r="C30" s="5" t="n">
        <v>38</v>
      </c>
      <c r="D30" s="0" t="n">
        <v>748.4</v>
      </c>
      <c r="E30" s="0" t="n">
        <v>729.2</v>
      </c>
      <c r="F30" s="0" t="n">
        <v>729.8</v>
      </c>
      <c r="G30" s="0" t="n">
        <v>738.3</v>
      </c>
      <c r="H30" s="0" t="n">
        <v>761.1</v>
      </c>
      <c r="I30" s="0" t="n">
        <v>739.5</v>
      </c>
      <c r="J30" s="0" t="n">
        <v>719.4</v>
      </c>
      <c r="K30" s="0" t="n">
        <v>727.1</v>
      </c>
      <c r="L30" s="0" t="n">
        <v>728.7</v>
      </c>
      <c r="M30" s="0" t="n">
        <v>768.6</v>
      </c>
      <c r="N30" s="0" t="n">
        <v>729.5</v>
      </c>
      <c r="O30" s="0" t="n">
        <v>731.1</v>
      </c>
      <c r="P30" s="0" t="n">
        <v>723.7</v>
      </c>
      <c r="Q30" s="0" t="n">
        <v>728.8</v>
      </c>
      <c r="R30" s="0" t="n">
        <v>753.7</v>
      </c>
      <c r="S30" s="0" t="n">
        <v>757.9</v>
      </c>
      <c r="T30" s="0" t="n">
        <v>713.5</v>
      </c>
      <c r="U30" s="0" t="n">
        <v>754.4</v>
      </c>
      <c r="V30" s="0" t="n">
        <v>762.2</v>
      </c>
      <c r="W30" s="0" t="n">
        <v>767</v>
      </c>
      <c r="X30" s="6" t="n">
        <f aca="false">AVERAGE(D30:W30)</f>
        <v>740.595</v>
      </c>
      <c r="Y30" s="7" t="n">
        <f aca="false">_xlfn.STDEV.S(D30:W30)</f>
        <v>16.9970113471999</v>
      </c>
      <c r="Z30" s="7" t="n">
        <f aca="false">Y30/X30</f>
        <v>0.0229504808258223</v>
      </c>
    </row>
    <row r="31" customFormat="false" ht="16.75" hidden="false" customHeight="false" outlineLevel="0" collapsed="false">
      <c r="B31" s="4"/>
      <c r="C31" s="5" t="n">
        <v>50</v>
      </c>
      <c r="D31" s="0" t="n">
        <v>726.3</v>
      </c>
      <c r="E31" s="0" t="n">
        <v>760.2</v>
      </c>
      <c r="F31" s="0" t="n">
        <v>754.8</v>
      </c>
      <c r="G31" s="0" t="n">
        <v>741.1</v>
      </c>
      <c r="H31" s="0" t="n">
        <v>764.1</v>
      </c>
      <c r="I31" s="0" t="n">
        <v>763.8</v>
      </c>
      <c r="J31" s="0" t="n">
        <v>752.6</v>
      </c>
      <c r="K31" s="0" t="n">
        <v>748.2</v>
      </c>
      <c r="L31" s="0" t="n">
        <v>727.7</v>
      </c>
      <c r="M31" s="0" t="n">
        <v>745.5</v>
      </c>
      <c r="N31" s="0" t="n">
        <v>721.2</v>
      </c>
      <c r="O31" s="0" t="n">
        <v>772.7</v>
      </c>
      <c r="P31" s="0" t="n">
        <v>722.6</v>
      </c>
      <c r="Q31" s="0" t="n">
        <v>727.4</v>
      </c>
      <c r="R31" s="0" t="n">
        <v>774.2</v>
      </c>
      <c r="S31" s="0" t="n">
        <v>735.4</v>
      </c>
      <c r="T31" s="0" t="n">
        <v>752.1</v>
      </c>
      <c r="U31" s="0" t="n">
        <v>771.3</v>
      </c>
      <c r="V31" s="0" t="n">
        <v>776.4</v>
      </c>
      <c r="W31" s="0" t="n">
        <v>737</v>
      </c>
      <c r="X31" s="6" t="n">
        <f aca="false">AVERAGE(D31:W31)</f>
        <v>748.73</v>
      </c>
      <c r="Y31" s="7" t="n">
        <f aca="false">_xlfn.STDEV.S(D31:W31)</f>
        <v>18.3268885003773</v>
      </c>
      <c r="Z31" s="7" t="n">
        <f aca="false">Y31/X31</f>
        <v>0.0244772995610932</v>
      </c>
    </row>
    <row r="32" customFormat="false" ht="16.75" hidden="false" customHeight="false" outlineLevel="0" collapsed="false">
      <c r="B32" s="4"/>
      <c r="C32" s="5" t="n">
        <v>75</v>
      </c>
      <c r="D32" s="0" t="n">
        <v>769.6</v>
      </c>
      <c r="E32" s="0" t="n">
        <v>783.5</v>
      </c>
      <c r="F32" s="0" t="n">
        <v>769.3</v>
      </c>
      <c r="G32" s="0" t="n">
        <v>779.2</v>
      </c>
      <c r="H32" s="0" t="n">
        <v>787.2</v>
      </c>
      <c r="I32" s="0" t="n">
        <v>795.1</v>
      </c>
      <c r="J32" s="0" t="n">
        <v>762</v>
      </c>
      <c r="K32" s="0" t="n">
        <v>791.5</v>
      </c>
      <c r="L32" s="0" t="n">
        <v>769.2</v>
      </c>
      <c r="M32" s="0" t="n">
        <v>797.2</v>
      </c>
      <c r="N32" s="0" t="n">
        <v>752</v>
      </c>
      <c r="O32" s="0" t="n">
        <v>770.1</v>
      </c>
      <c r="P32" s="0" t="n">
        <v>759.1</v>
      </c>
      <c r="Q32" s="0" t="n">
        <v>785</v>
      </c>
      <c r="R32" s="0" t="n">
        <v>789.5</v>
      </c>
      <c r="S32" s="0" t="n">
        <v>795</v>
      </c>
      <c r="T32" s="0" t="n">
        <v>787.5</v>
      </c>
      <c r="U32" s="0" t="n">
        <v>777.3</v>
      </c>
      <c r="V32" s="0" t="n">
        <v>760.3</v>
      </c>
      <c r="W32" s="0" t="n">
        <v>784.1</v>
      </c>
      <c r="X32" s="6" t="n">
        <f aca="false">AVERAGE(D32:W32)</f>
        <v>778.185</v>
      </c>
      <c r="Y32" s="7" t="n">
        <f aca="false">_xlfn.STDEV.S(D32:W32)</f>
        <v>13.4668120323924</v>
      </c>
      <c r="Z32" s="7" t="n">
        <f aca="false">Y32/X32</f>
        <v>0.0173054119937964</v>
      </c>
    </row>
    <row r="33" customFormat="false" ht="16.75" hidden="false" customHeight="false" outlineLevel="0" collapsed="false">
      <c r="B33" s="4"/>
      <c r="C33" s="5" t="n">
        <v>100</v>
      </c>
      <c r="D33" s="0" t="n">
        <v>778.3</v>
      </c>
      <c r="E33" s="0" t="n">
        <v>804.6</v>
      </c>
      <c r="F33" s="0" t="n">
        <v>776.3</v>
      </c>
      <c r="G33" s="0" t="n">
        <v>776.1</v>
      </c>
      <c r="H33" s="0" t="n">
        <v>775.6</v>
      </c>
      <c r="I33" s="0" t="n">
        <v>805.7</v>
      </c>
      <c r="J33" s="0" t="n">
        <v>786.9</v>
      </c>
      <c r="K33" s="0" t="n">
        <v>804.2</v>
      </c>
      <c r="L33" s="0" t="n">
        <v>786.5</v>
      </c>
      <c r="M33" s="0" t="n">
        <v>799.2</v>
      </c>
      <c r="N33" s="0" t="n">
        <v>808.2</v>
      </c>
      <c r="O33" s="0" t="n">
        <v>802.5</v>
      </c>
      <c r="P33" s="0" t="n">
        <v>799.1</v>
      </c>
      <c r="Q33" s="0" t="n">
        <v>811.4</v>
      </c>
      <c r="R33" s="0" t="n">
        <v>795.7</v>
      </c>
      <c r="S33" s="0" t="n">
        <v>799.7</v>
      </c>
      <c r="T33" s="0" t="n">
        <v>792.7</v>
      </c>
      <c r="U33" s="0" t="n">
        <v>791.6</v>
      </c>
      <c r="V33" s="0" t="n">
        <v>773.5</v>
      </c>
      <c r="W33" s="0" t="n">
        <v>794.5</v>
      </c>
      <c r="X33" s="6" t="n">
        <f aca="false">AVERAGE(D33:W33)</f>
        <v>793.115</v>
      </c>
      <c r="Y33" s="7" t="n">
        <f aca="false">_xlfn.STDEV.S(D33:W33)</f>
        <v>12.0439229052402</v>
      </c>
      <c r="Z33" s="7" t="n">
        <f aca="false">Y33/X33</f>
        <v>0.0151855946555546</v>
      </c>
    </row>
    <row r="34" customFormat="false" ht="16.75" hidden="false" customHeight="false" outlineLevel="0" collapsed="false">
      <c r="B34" s="4"/>
      <c r="C34" s="5" t="n">
        <v>150</v>
      </c>
      <c r="D34" s="0" t="n">
        <v>826.9</v>
      </c>
      <c r="E34" s="0" t="n">
        <v>814.1</v>
      </c>
      <c r="F34" s="0" t="n">
        <v>813.3</v>
      </c>
      <c r="G34" s="0" t="n">
        <v>800.3</v>
      </c>
      <c r="H34" s="0" t="n">
        <v>817.9</v>
      </c>
      <c r="I34" s="0" t="n">
        <v>817.2</v>
      </c>
      <c r="J34" s="0" t="n">
        <v>828</v>
      </c>
      <c r="K34" s="0" t="n">
        <v>805.5</v>
      </c>
      <c r="L34" s="0" t="n">
        <v>826.1</v>
      </c>
      <c r="M34" s="0" t="n">
        <v>798.6</v>
      </c>
      <c r="N34" s="0" t="n">
        <v>807.3</v>
      </c>
      <c r="O34" s="0" t="n">
        <v>803.3</v>
      </c>
      <c r="P34" s="0" t="n">
        <v>816.4</v>
      </c>
      <c r="Q34" s="0" t="n">
        <v>816.2</v>
      </c>
      <c r="R34" s="0" t="n">
        <v>797.4</v>
      </c>
      <c r="S34" s="0" t="n">
        <v>819.9</v>
      </c>
      <c r="T34" s="0" t="n">
        <v>817.6</v>
      </c>
      <c r="U34" s="0" t="n">
        <v>798</v>
      </c>
      <c r="V34" s="0" t="n">
        <v>823.3</v>
      </c>
      <c r="W34" s="0" t="n">
        <v>821.6</v>
      </c>
      <c r="X34" s="6" t="n">
        <f aca="false">AVERAGE(D34:W34)</f>
        <v>813.445</v>
      </c>
      <c r="Y34" s="7" t="n">
        <f aca="false">_xlfn.STDEV.S(D34:W34)</f>
        <v>10.0505812871956</v>
      </c>
      <c r="Z34" s="7" t="n">
        <f aca="false">Y34/X34</f>
        <v>0.0123555757146403</v>
      </c>
    </row>
    <row r="35" customFormat="false" ht="15" hidden="false" customHeight="true" outlineLevel="0" collapsed="false">
      <c r="A35" s="1" t="s">
        <v>33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815.4</v>
      </c>
      <c r="E40" s="0" t="n">
        <v>819.9</v>
      </c>
      <c r="F40" s="0" t="n">
        <v>816.7</v>
      </c>
      <c r="G40" s="0" t="n">
        <v>812.3</v>
      </c>
      <c r="H40" s="0" t="n">
        <v>816.7</v>
      </c>
      <c r="I40" s="0" t="n">
        <v>819</v>
      </c>
      <c r="J40" s="0" t="n">
        <v>822.2</v>
      </c>
      <c r="K40" s="0" t="n">
        <v>822.2</v>
      </c>
      <c r="L40" s="0" t="n">
        <v>819.7</v>
      </c>
      <c r="M40" s="0" t="n">
        <v>818.8</v>
      </c>
      <c r="N40" s="0" t="n">
        <v>815.9</v>
      </c>
      <c r="O40" s="0" t="n">
        <v>812.3</v>
      </c>
      <c r="P40" s="0" t="n">
        <v>812.2</v>
      </c>
      <c r="Q40" s="0" t="n">
        <v>816.8</v>
      </c>
      <c r="R40" s="0" t="n">
        <v>819.2</v>
      </c>
      <c r="S40" s="0" t="n">
        <v>827.5</v>
      </c>
      <c r="T40" s="0" t="n">
        <v>818.2</v>
      </c>
      <c r="U40" s="0" t="n">
        <v>821.6</v>
      </c>
      <c r="V40" s="0" t="n">
        <v>825</v>
      </c>
      <c r="W40" s="0" t="n">
        <v>821.7</v>
      </c>
      <c r="X40" s="6" t="n">
        <f aca="false">AVERAGE(D40:W40)</f>
        <v>818.665</v>
      </c>
      <c r="Y40" s="7" t="n">
        <f aca="false">_xlfn.STDEV.S(D40:W40)</f>
        <v>4.08183072961916</v>
      </c>
      <c r="Z40" s="7" t="n">
        <f aca="false">Y40/X40</f>
        <v>0.00498595973886652</v>
      </c>
    </row>
    <row r="41" customFormat="false" ht="16.75" hidden="false" customHeight="false" outlineLevel="0" collapsed="false">
      <c r="B41" s="4"/>
      <c r="C41" s="5" t="n">
        <v>25</v>
      </c>
      <c r="D41" s="0" t="n">
        <v>844.8</v>
      </c>
      <c r="E41" s="0" t="n">
        <v>838</v>
      </c>
      <c r="F41" s="0" t="n">
        <v>840.7</v>
      </c>
      <c r="G41" s="0" t="n">
        <v>838.5</v>
      </c>
      <c r="H41" s="0" t="n">
        <v>839.1</v>
      </c>
      <c r="I41" s="0" t="n">
        <v>841.7</v>
      </c>
      <c r="J41" s="0" t="n">
        <v>841.9</v>
      </c>
      <c r="K41" s="0" t="n">
        <v>842</v>
      </c>
      <c r="L41" s="0" t="n">
        <v>844.9</v>
      </c>
      <c r="M41" s="0" t="n">
        <v>848.6</v>
      </c>
      <c r="N41" s="0" t="n">
        <v>860.7</v>
      </c>
      <c r="O41" s="0" t="n">
        <v>841.9</v>
      </c>
      <c r="P41" s="0" t="n">
        <v>843.6</v>
      </c>
      <c r="Q41" s="0" t="n">
        <v>837</v>
      </c>
      <c r="R41" s="0" t="n">
        <v>840.6</v>
      </c>
      <c r="S41" s="0" t="n">
        <v>841.2</v>
      </c>
      <c r="T41" s="0" t="n">
        <v>845.5</v>
      </c>
      <c r="U41" s="0" t="n">
        <v>844</v>
      </c>
      <c r="V41" s="0" t="n">
        <v>839.2</v>
      </c>
      <c r="W41" s="0" t="n">
        <v>839.4</v>
      </c>
      <c r="X41" s="6" t="n">
        <f aca="false">AVERAGE(D41:W41)</f>
        <v>842.665</v>
      </c>
      <c r="Y41" s="7" t="n">
        <f aca="false">_xlfn.STDEV.S(D41:W41)</f>
        <v>5.13053552144824</v>
      </c>
      <c r="Z41" s="7" t="n">
        <f aca="false">Y41/X41</f>
        <v>0.00608846400580093</v>
      </c>
    </row>
    <row r="42" customFormat="false" ht="16.75" hidden="false" customHeight="false" outlineLevel="0" collapsed="false">
      <c r="B42" s="4"/>
      <c r="C42" s="5" t="n">
        <v>38</v>
      </c>
      <c r="D42" s="0" t="n">
        <v>842.4</v>
      </c>
      <c r="E42" s="0" t="n">
        <v>850.9</v>
      </c>
      <c r="F42" s="0" t="n">
        <v>845.2</v>
      </c>
      <c r="G42" s="0" t="n">
        <v>883.8</v>
      </c>
      <c r="H42" s="0" t="n">
        <v>849</v>
      </c>
      <c r="I42" s="0" t="n">
        <v>854.5</v>
      </c>
      <c r="J42" s="0" t="n">
        <v>845.4</v>
      </c>
      <c r="K42" s="0" t="n">
        <v>850.2</v>
      </c>
      <c r="L42" s="0" t="n">
        <v>838.9</v>
      </c>
      <c r="M42" s="0" t="n">
        <v>846</v>
      </c>
      <c r="N42" s="0" t="n">
        <v>856.1</v>
      </c>
      <c r="O42" s="0" t="n">
        <v>853.9</v>
      </c>
      <c r="P42" s="0" t="n">
        <v>846.9</v>
      </c>
      <c r="Q42" s="0" t="n">
        <v>845.9</v>
      </c>
      <c r="R42" s="0" t="n">
        <v>849.1</v>
      </c>
      <c r="S42" s="0" t="n">
        <v>847.3</v>
      </c>
      <c r="T42" s="0" t="n">
        <v>850.4</v>
      </c>
      <c r="U42" s="0" t="n">
        <v>851.2</v>
      </c>
      <c r="V42" s="0" t="n">
        <v>854</v>
      </c>
      <c r="W42" s="0" t="n">
        <v>845</v>
      </c>
      <c r="X42" s="6" t="n">
        <f aca="false">AVERAGE(D42:W42)</f>
        <v>850.305</v>
      </c>
      <c r="Y42" s="7" t="n">
        <f aca="false">_xlfn.STDEV.S(D42:W42)</f>
        <v>8.98358005064327</v>
      </c>
      <c r="Z42" s="7" t="n">
        <f aca="false">Y42/X42</f>
        <v>0.0105651266905913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777.2</v>
      </c>
      <c r="E43" s="0" t="n">
        <v>788.2</v>
      </c>
      <c r="F43" s="0" t="n">
        <v>784.4</v>
      </c>
      <c r="G43" s="0" t="n">
        <v>810.7</v>
      </c>
      <c r="H43" s="0" t="n">
        <v>770.5</v>
      </c>
      <c r="I43" s="0" t="n">
        <v>776.3</v>
      </c>
      <c r="J43" s="0" t="n">
        <v>803.6</v>
      </c>
      <c r="K43" s="0" t="n">
        <v>784.2</v>
      </c>
      <c r="L43" s="0" t="n">
        <v>781.5</v>
      </c>
      <c r="M43" s="0" t="n">
        <v>766.9</v>
      </c>
      <c r="N43" s="0" t="n">
        <v>784.4</v>
      </c>
      <c r="O43" s="0" t="n">
        <v>796.8</v>
      </c>
      <c r="P43" s="0" t="n">
        <v>767.9</v>
      </c>
      <c r="Q43" s="0" t="n">
        <v>772.9</v>
      </c>
      <c r="R43" s="0" t="n">
        <v>783.9</v>
      </c>
      <c r="S43" s="0" t="n">
        <v>789.5</v>
      </c>
      <c r="T43" s="0" t="n">
        <v>775.9</v>
      </c>
      <c r="U43" s="0" t="n">
        <v>786.2</v>
      </c>
      <c r="V43" s="0" t="n">
        <v>777.2</v>
      </c>
      <c r="W43" s="0" t="n">
        <v>753.2</v>
      </c>
      <c r="X43" s="6" t="n">
        <f aca="false">AVERAGE(D43:W43)</f>
        <v>781.57</v>
      </c>
      <c r="Y43" s="7" t="n">
        <f aca="false">_xlfn.STDEV.S(D43:W43)</f>
        <v>13.0287980622684</v>
      </c>
      <c r="Z43" s="7" t="n">
        <f aca="false">Y43/X43</f>
        <v>0.0166700334739926</v>
      </c>
    </row>
    <row r="44" customFormat="false" ht="16.75" hidden="false" customHeight="false" outlineLevel="0" collapsed="false">
      <c r="B44" s="4"/>
      <c r="C44" s="5" t="n">
        <v>63</v>
      </c>
      <c r="D44" s="0" t="n">
        <v>832.9</v>
      </c>
      <c r="E44" s="0" t="n">
        <v>819.3</v>
      </c>
      <c r="F44" s="0" t="n">
        <v>817.2</v>
      </c>
      <c r="G44" s="0" t="n">
        <v>813.7</v>
      </c>
      <c r="H44" s="0" t="n">
        <v>818.5</v>
      </c>
      <c r="I44" s="0" t="n">
        <v>796.5</v>
      </c>
      <c r="J44" s="0" t="n">
        <v>818.8</v>
      </c>
      <c r="K44" s="0" t="n">
        <v>807.5</v>
      </c>
      <c r="L44" s="0" t="n">
        <v>809.7</v>
      </c>
      <c r="M44" s="0" t="n">
        <v>815.6</v>
      </c>
      <c r="N44" s="0" t="n">
        <v>827.2</v>
      </c>
      <c r="O44" s="0" t="n">
        <v>814.4</v>
      </c>
      <c r="P44" s="0" t="n">
        <v>818.2</v>
      </c>
      <c r="Q44" s="0" t="n">
        <v>817.8</v>
      </c>
      <c r="R44" s="0" t="n">
        <v>811.5</v>
      </c>
      <c r="S44" s="0" t="n">
        <v>819.9</v>
      </c>
      <c r="T44" s="0" t="n">
        <v>820</v>
      </c>
      <c r="U44" s="0" t="n">
        <v>794.8</v>
      </c>
      <c r="V44" s="0" t="n">
        <v>813.4</v>
      </c>
      <c r="W44" s="0" t="n">
        <v>810.4</v>
      </c>
      <c r="X44" s="6" t="n">
        <f aca="false">AVERAGE(D44:W44)</f>
        <v>814.865</v>
      </c>
      <c r="Y44" s="7" t="n">
        <f aca="false">_xlfn.STDEV.S(D44:W44)</f>
        <v>8.76297684339602</v>
      </c>
      <c r="Z44" s="7" t="n">
        <f aca="false">Y44/X44</f>
        <v>0.010753900147136</v>
      </c>
    </row>
    <row r="45" customFormat="false" ht="16.75" hidden="false" customHeight="false" outlineLevel="0" collapsed="false">
      <c r="B45" s="4"/>
      <c r="C45" s="5" t="n">
        <v>93</v>
      </c>
      <c r="D45" s="0" t="n">
        <v>829.9</v>
      </c>
      <c r="E45" s="0" t="n">
        <v>829.8</v>
      </c>
      <c r="F45" s="0" t="n">
        <v>835</v>
      </c>
      <c r="G45" s="0" t="n">
        <v>832.8</v>
      </c>
      <c r="H45" s="0" t="n">
        <v>835.1</v>
      </c>
      <c r="I45" s="0" t="n">
        <v>835.5</v>
      </c>
      <c r="J45" s="0" t="n">
        <v>819.9</v>
      </c>
      <c r="K45" s="0" t="n">
        <v>829.6</v>
      </c>
      <c r="L45" s="0" t="n">
        <v>842.9</v>
      </c>
      <c r="M45" s="0" t="n">
        <v>842.2</v>
      </c>
      <c r="N45" s="0" t="n">
        <v>826.8</v>
      </c>
      <c r="O45" s="0" t="n">
        <v>831.6</v>
      </c>
      <c r="P45" s="0" t="n">
        <v>834.4</v>
      </c>
      <c r="Q45" s="0" t="n">
        <v>840.5</v>
      </c>
      <c r="R45" s="0" t="n">
        <v>833</v>
      </c>
      <c r="S45" s="0" t="n">
        <v>828.1</v>
      </c>
      <c r="T45" s="0" t="n">
        <v>829.9</v>
      </c>
      <c r="U45" s="0" t="n">
        <v>830</v>
      </c>
      <c r="V45" s="0" t="n">
        <v>832</v>
      </c>
      <c r="W45" s="0" t="n">
        <v>838.4</v>
      </c>
      <c r="X45" s="6" t="n">
        <f aca="false">AVERAGE(D45:W45)</f>
        <v>832.87</v>
      </c>
      <c r="Y45" s="7" t="n">
        <f aca="false">_xlfn.STDEV.S(D45:W45)</f>
        <v>5.48405343749158</v>
      </c>
      <c r="Z45" s="7" t="n">
        <f aca="false">Y45/X45</f>
        <v>0.00658452512095715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746.5</v>
      </c>
      <c r="E46" s="0" t="n">
        <v>741.3</v>
      </c>
      <c r="F46" s="0" t="n">
        <v>711.6</v>
      </c>
      <c r="G46" s="0" t="n">
        <v>750.5</v>
      </c>
      <c r="H46" s="0" t="n">
        <v>742.6</v>
      </c>
      <c r="I46" s="0" t="n">
        <v>734.6</v>
      </c>
      <c r="J46" s="0" t="n">
        <v>743.3</v>
      </c>
      <c r="K46" s="0" t="n">
        <v>715.7</v>
      </c>
      <c r="L46" s="0" t="n">
        <v>723.4</v>
      </c>
      <c r="M46" s="0" t="n">
        <v>743.6</v>
      </c>
      <c r="N46" s="0" t="n">
        <v>743.2</v>
      </c>
      <c r="O46" s="0" t="n">
        <v>728.9</v>
      </c>
      <c r="P46" s="0" t="n">
        <v>742.1</v>
      </c>
      <c r="Q46" s="0" t="n">
        <v>726.7</v>
      </c>
      <c r="R46" s="0" t="n">
        <v>762.3</v>
      </c>
      <c r="S46" s="0" t="n">
        <v>719.9</v>
      </c>
      <c r="T46" s="0" t="n">
        <v>718</v>
      </c>
      <c r="U46" s="0" t="n">
        <v>759</v>
      </c>
      <c r="V46" s="0" t="n">
        <v>717.7</v>
      </c>
      <c r="W46" s="0" t="n">
        <v>754.2</v>
      </c>
      <c r="X46" s="6" t="n">
        <f aca="false">AVERAGE(D46:W46)</f>
        <v>736.255</v>
      </c>
      <c r="Y46" s="7" t="n">
        <f aca="false">_xlfn.STDEV.S(D46:W46)</f>
        <v>15.1588943840693</v>
      </c>
      <c r="Z46" s="7" t="n">
        <f aca="false">Y46/X46</f>
        <v>0.0205891904083087</v>
      </c>
    </row>
    <row r="47" customFormat="false" ht="16.75" hidden="false" customHeight="false" outlineLevel="0" collapsed="false">
      <c r="B47" s="4"/>
      <c r="C47" s="5" t="n">
        <v>38</v>
      </c>
      <c r="D47" s="0" t="n">
        <v>754</v>
      </c>
      <c r="E47" s="0" t="n">
        <v>753.7</v>
      </c>
      <c r="F47" s="0" t="n">
        <v>738.8</v>
      </c>
      <c r="G47" s="0" t="n">
        <v>770.1</v>
      </c>
      <c r="H47" s="0" t="n">
        <v>745.6</v>
      </c>
      <c r="I47" s="0" t="n">
        <v>765.9</v>
      </c>
      <c r="J47" s="0" t="n">
        <v>745.3</v>
      </c>
      <c r="K47" s="0" t="n">
        <v>748.2</v>
      </c>
      <c r="L47" s="0" t="n">
        <v>771</v>
      </c>
      <c r="M47" s="0" t="n">
        <v>766.3</v>
      </c>
      <c r="N47" s="0" t="n">
        <v>749.3</v>
      </c>
      <c r="O47" s="0" t="n">
        <v>737.6</v>
      </c>
      <c r="P47" s="0" t="n">
        <v>749.6</v>
      </c>
      <c r="Q47" s="0" t="n">
        <v>756.3</v>
      </c>
      <c r="R47" s="0" t="n">
        <v>750.9</v>
      </c>
      <c r="S47" s="0" t="n">
        <v>737.2</v>
      </c>
      <c r="T47" s="0" t="n">
        <v>767</v>
      </c>
      <c r="U47" s="0" t="n">
        <v>726.8</v>
      </c>
      <c r="V47" s="0" t="n">
        <v>765.8</v>
      </c>
      <c r="W47" s="0" t="n">
        <v>765.5</v>
      </c>
      <c r="X47" s="6" t="n">
        <f aca="false">AVERAGE(D47:W47)</f>
        <v>753.245</v>
      </c>
      <c r="Y47" s="7" t="n">
        <f aca="false">_xlfn.STDEV.S(D47:W47)</f>
        <v>12.6253910830516</v>
      </c>
      <c r="Z47" s="7" t="n">
        <f aca="false">Y47/X47</f>
        <v>0.0167613340719841</v>
      </c>
    </row>
    <row r="48" customFormat="false" ht="16.75" hidden="false" customHeight="false" outlineLevel="0" collapsed="false">
      <c r="B48" s="4"/>
      <c r="C48" s="5" t="n">
        <v>50</v>
      </c>
      <c r="D48" s="0" t="n">
        <v>762.1</v>
      </c>
      <c r="E48" s="0" t="n">
        <v>764.5</v>
      </c>
      <c r="F48" s="0" t="n">
        <v>756.8</v>
      </c>
      <c r="G48" s="0" t="n">
        <v>766.2</v>
      </c>
      <c r="H48" s="0" t="n">
        <v>752.8</v>
      </c>
      <c r="I48" s="0" t="n">
        <v>766.1</v>
      </c>
      <c r="J48" s="0" t="n">
        <v>773</v>
      </c>
      <c r="K48" s="0" t="n">
        <v>756.8</v>
      </c>
      <c r="L48" s="0" t="n">
        <v>761.9</v>
      </c>
      <c r="M48" s="0" t="n">
        <v>758.2</v>
      </c>
      <c r="N48" s="0" t="n">
        <v>789.8</v>
      </c>
      <c r="O48" s="0" t="n">
        <v>750.9</v>
      </c>
      <c r="P48" s="0" t="n">
        <v>763.1</v>
      </c>
      <c r="Q48" s="0" t="n">
        <v>757.6</v>
      </c>
      <c r="R48" s="0" t="n">
        <v>773.4</v>
      </c>
      <c r="S48" s="0" t="n">
        <v>776.9</v>
      </c>
      <c r="T48" s="0" t="n">
        <v>755.6</v>
      </c>
      <c r="U48" s="0" t="n">
        <v>754.2</v>
      </c>
      <c r="V48" s="0" t="n">
        <v>766.1</v>
      </c>
      <c r="W48" s="0" t="n">
        <v>773.4</v>
      </c>
      <c r="X48" s="6" t="n">
        <f aca="false">AVERAGE(D48:W48)</f>
        <v>763.97</v>
      </c>
      <c r="Y48" s="7" t="n">
        <f aca="false">_xlfn.STDEV.S(D48:W48)</f>
        <v>9.6092663611745</v>
      </c>
      <c r="Z48" s="7" t="n">
        <f aca="false">Y48/X48</f>
        <v>0.0125780676743517</v>
      </c>
    </row>
    <row r="49" customFormat="false" ht="16.75" hidden="false" customHeight="false" outlineLevel="0" collapsed="false">
      <c r="B49" s="4"/>
      <c r="C49" s="5" t="n">
        <v>75</v>
      </c>
      <c r="D49" s="0" t="n">
        <v>793.7</v>
      </c>
      <c r="E49" s="0" t="n">
        <v>775.1</v>
      </c>
      <c r="F49" s="0" t="n">
        <v>778.4</v>
      </c>
      <c r="G49" s="0" t="n">
        <v>740.6</v>
      </c>
      <c r="H49" s="0" t="n">
        <v>767.5</v>
      </c>
      <c r="I49" s="0" t="n">
        <v>778.9</v>
      </c>
      <c r="J49" s="0" t="n">
        <v>772.9</v>
      </c>
      <c r="K49" s="0" t="n">
        <v>780.7</v>
      </c>
      <c r="L49" s="0" t="n">
        <v>783.2</v>
      </c>
      <c r="M49" s="0" t="n">
        <v>784</v>
      </c>
      <c r="N49" s="0" t="n">
        <v>769.2</v>
      </c>
      <c r="O49" s="0" t="n">
        <v>755.2</v>
      </c>
      <c r="P49" s="0" t="n">
        <v>789.2</v>
      </c>
      <c r="Q49" s="0" t="n">
        <v>750.6</v>
      </c>
      <c r="R49" s="0" t="n">
        <v>789.7</v>
      </c>
      <c r="S49" s="0" t="n">
        <v>773.2</v>
      </c>
      <c r="T49" s="0" t="n">
        <v>769.2</v>
      </c>
      <c r="U49" s="0" t="n">
        <v>782.4</v>
      </c>
      <c r="V49" s="0" t="n">
        <v>775.2</v>
      </c>
      <c r="W49" s="0" t="n">
        <v>781.5</v>
      </c>
      <c r="X49" s="6" t="n">
        <f aca="false">AVERAGE(D49:W49)</f>
        <v>774.52</v>
      </c>
      <c r="Y49" s="7" t="n">
        <f aca="false">_xlfn.STDEV.S(D49:W49)</f>
        <v>13.3166140788984</v>
      </c>
      <c r="Z49" s="7" t="n">
        <f aca="false">Y49/X49</f>
        <v>0.0171933766447586</v>
      </c>
    </row>
    <row r="50" customFormat="false" ht="16.75" hidden="false" customHeight="false" outlineLevel="0" collapsed="false">
      <c r="B50" s="4"/>
      <c r="C50" s="5" t="n">
        <v>100</v>
      </c>
      <c r="D50" s="0" t="n">
        <v>781.5</v>
      </c>
      <c r="E50" s="0" t="n">
        <v>789.2</v>
      </c>
      <c r="F50" s="0" t="n">
        <v>790.1</v>
      </c>
      <c r="G50" s="0" t="n">
        <v>795.7</v>
      </c>
      <c r="H50" s="0" t="n">
        <v>804.7</v>
      </c>
      <c r="I50" s="0" t="n">
        <v>800.3</v>
      </c>
      <c r="J50" s="0" t="n">
        <v>790.9</v>
      </c>
      <c r="K50" s="0" t="n">
        <v>774</v>
      </c>
      <c r="L50" s="0" t="n">
        <v>785.4</v>
      </c>
      <c r="M50" s="0" t="n">
        <v>790</v>
      </c>
      <c r="N50" s="0" t="n">
        <v>797</v>
      </c>
      <c r="O50" s="0" t="n">
        <v>791.1</v>
      </c>
      <c r="P50" s="0" t="n">
        <v>759.1</v>
      </c>
      <c r="Q50" s="0" t="n">
        <v>765.5</v>
      </c>
      <c r="R50" s="0" t="n">
        <v>787</v>
      </c>
      <c r="S50" s="0" t="n">
        <v>790.9</v>
      </c>
      <c r="T50" s="0" t="n">
        <v>798.1</v>
      </c>
      <c r="U50" s="0" t="n">
        <v>796.5</v>
      </c>
      <c r="V50" s="0" t="n">
        <v>785.3</v>
      </c>
      <c r="W50" s="0" t="n">
        <v>791.4</v>
      </c>
      <c r="X50" s="6" t="n">
        <f aca="false">AVERAGE(D50:W50)</f>
        <v>788.185</v>
      </c>
      <c r="Y50" s="7" t="n">
        <f aca="false">_xlfn.STDEV.S(D50:W50)</f>
        <v>11.2077170312527</v>
      </c>
      <c r="Z50" s="7" t="n">
        <f aca="false">Y50/X50</f>
        <v>0.0142196527861513</v>
      </c>
    </row>
    <row r="51" customFormat="false" ht="16.75" hidden="false" customHeight="false" outlineLevel="0" collapsed="false">
      <c r="B51" s="4"/>
      <c r="C51" s="5" t="n">
        <v>150</v>
      </c>
      <c r="D51" s="0" t="n">
        <v>798.9</v>
      </c>
      <c r="E51" s="0" t="n">
        <v>833.2</v>
      </c>
      <c r="F51" s="0" t="n">
        <v>829.9</v>
      </c>
      <c r="G51" s="0" t="n">
        <v>772.1</v>
      </c>
      <c r="H51" s="0" t="n">
        <v>816.3</v>
      </c>
      <c r="I51" s="0" t="n">
        <v>817.9</v>
      </c>
      <c r="J51" s="0" t="n">
        <v>824.2</v>
      </c>
      <c r="K51" s="0" t="n">
        <v>829.5</v>
      </c>
      <c r="L51" s="0" t="n">
        <v>800.2</v>
      </c>
      <c r="M51" s="0" t="n">
        <v>827.6</v>
      </c>
      <c r="N51" s="0" t="n">
        <v>826.1</v>
      </c>
      <c r="O51" s="0" t="n">
        <v>775.6</v>
      </c>
      <c r="P51" s="0" t="n">
        <v>824</v>
      </c>
      <c r="Q51" s="0" t="n">
        <v>768.4</v>
      </c>
      <c r="R51" s="0" t="n">
        <v>674.7</v>
      </c>
      <c r="S51" s="0" t="n">
        <v>795.2</v>
      </c>
      <c r="T51" s="0" t="n">
        <v>822.3</v>
      </c>
      <c r="U51" s="0" t="n">
        <v>785.5</v>
      </c>
      <c r="V51" s="0" t="n">
        <v>826</v>
      </c>
      <c r="W51" s="0" t="n">
        <v>831.5</v>
      </c>
      <c r="X51" s="6" t="n">
        <f aca="false">AVERAGE(D51:W51)</f>
        <v>803.955</v>
      </c>
      <c r="Y51" s="7" t="n">
        <f aca="false">_xlfn.STDEV.S(D51:W51)</f>
        <v>37.1461335382581</v>
      </c>
      <c r="Z51" s="7" t="n">
        <f aca="false">Y51/X51</f>
        <v>0.0462042446881456</v>
      </c>
    </row>
    <row r="52" customFormat="false" ht="15" hidden="false" customHeight="true" outlineLevel="0" collapsed="false">
      <c r="A52" s="1" t="s">
        <v>33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789</v>
      </c>
      <c r="E57" s="0" t="n">
        <v>787.2</v>
      </c>
      <c r="F57" s="0" t="n">
        <v>786.2</v>
      </c>
      <c r="G57" s="0" t="n">
        <v>776.8</v>
      </c>
      <c r="H57" s="0" t="n">
        <v>784.3</v>
      </c>
      <c r="I57" s="0" t="n">
        <v>786</v>
      </c>
      <c r="J57" s="0" t="n">
        <v>787.2</v>
      </c>
      <c r="K57" s="0" t="n">
        <v>793.2</v>
      </c>
      <c r="L57" s="0" t="n">
        <v>784</v>
      </c>
      <c r="M57" s="0" t="n">
        <v>782.5</v>
      </c>
      <c r="N57" s="0" t="n">
        <v>780</v>
      </c>
      <c r="O57" s="0" t="n">
        <v>780.4</v>
      </c>
      <c r="P57" s="0" t="n">
        <v>790.8</v>
      </c>
      <c r="Q57" s="0" t="n">
        <v>779.2</v>
      </c>
      <c r="R57" s="0" t="n">
        <v>778.5</v>
      </c>
      <c r="S57" s="0" t="n">
        <v>776.3</v>
      </c>
      <c r="T57" s="0" t="n">
        <v>782.1</v>
      </c>
      <c r="U57" s="0" t="n">
        <v>780.2</v>
      </c>
      <c r="V57" s="0" t="n">
        <v>789.8</v>
      </c>
      <c r="W57" s="0" t="n">
        <v>783.4</v>
      </c>
      <c r="X57" s="6" t="n">
        <f aca="false">AVERAGE(D57:W57)</f>
        <v>783.855</v>
      </c>
      <c r="Y57" s="7" t="n">
        <f aca="false">_xlfn.STDEV.S(D57:W57)</f>
        <v>4.77134814888778</v>
      </c>
      <c r="Z57" s="7" t="n">
        <f aca="false">Y57/X57</f>
        <v>0.00608702904094224</v>
      </c>
    </row>
    <row r="58" customFormat="false" ht="16.75" hidden="false" customHeight="false" outlineLevel="0" collapsed="false">
      <c r="B58" s="4"/>
      <c r="C58" s="5" t="n">
        <v>25</v>
      </c>
      <c r="D58" s="0" t="n">
        <v>796.3</v>
      </c>
      <c r="E58" s="0" t="n">
        <v>790.3</v>
      </c>
      <c r="F58" s="0" t="n">
        <v>791.1</v>
      </c>
      <c r="G58" s="0" t="n">
        <v>797.4</v>
      </c>
      <c r="H58" s="0" t="n">
        <v>795.6</v>
      </c>
      <c r="I58" s="0" t="n">
        <v>797.9</v>
      </c>
      <c r="J58" s="0" t="n">
        <v>797.2</v>
      </c>
      <c r="K58" s="0" t="n">
        <v>797.6</v>
      </c>
      <c r="L58" s="0" t="n">
        <v>794.9</v>
      </c>
      <c r="M58" s="0" t="n">
        <v>823</v>
      </c>
      <c r="N58" s="0" t="n">
        <v>795.2</v>
      </c>
      <c r="O58" s="0" t="n">
        <v>792.7</v>
      </c>
      <c r="P58" s="0" t="n">
        <v>810.3</v>
      </c>
      <c r="Q58" s="0" t="n">
        <v>795.6</v>
      </c>
      <c r="R58" s="0" t="n">
        <v>792</v>
      </c>
      <c r="S58" s="0" t="n">
        <v>801.4</v>
      </c>
      <c r="T58" s="0" t="n">
        <v>797.7</v>
      </c>
      <c r="U58" s="0" t="n">
        <v>796</v>
      </c>
      <c r="V58" s="0" t="n">
        <v>796.1</v>
      </c>
      <c r="W58" s="0" t="n">
        <v>795.2</v>
      </c>
      <c r="X58" s="6" t="n">
        <f aca="false">AVERAGE(D58:W58)</f>
        <v>797.675</v>
      </c>
      <c r="Y58" s="7" t="n">
        <f aca="false">_xlfn.STDEV.S(D58:W58)</f>
        <v>7.27395317120216</v>
      </c>
      <c r="Z58" s="7" t="n">
        <f aca="false">Y58/X58</f>
        <v>0.00911894339323931</v>
      </c>
    </row>
    <row r="59" customFormat="false" ht="16.75" hidden="false" customHeight="false" outlineLevel="0" collapsed="false">
      <c r="B59" s="4"/>
      <c r="C59" s="5" t="n">
        <v>38</v>
      </c>
      <c r="D59" s="0" t="n">
        <v>808.2</v>
      </c>
      <c r="E59" s="0" t="n">
        <v>806.7</v>
      </c>
      <c r="F59" s="0" t="n">
        <v>811.2</v>
      </c>
      <c r="G59" s="0" t="n">
        <v>809.8</v>
      </c>
      <c r="H59" s="0" t="n">
        <v>803.7</v>
      </c>
      <c r="I59" s="0" t="n">
        <v>805.1</v>
      </c>
      <c r="J59" s="0" t="n">
        <v>809.1</v>
      </c>
      <c r="K59" s="0" t="n">
        <v>809.3</v>
      </c>
      <c r="L59" s="0" t="n">
        <v>804.9</v>
      </c>
      <c r="M59" s="0" t="n">
        <v>810.9</v>
      </c>
      <c r="N59" s="0" t="n">
        <v>811.5</v>
      </c>
      <c r="O59" s="0" t="n">
        <v>806.6</v>
      </c>
      <c r="P59" s="0" t="n">
        <v>806.7</v>
      </c>
      <c r="Q59" s="0" t="n">
        <v>807.4</v>
      </c>
      <c r="R59" s="0" t="n">
        <v>812.1</v>
      </c>
      <c r="S59" s="0" t="n">
        <v>811.4</v>
      </c>
      <c r="T59" s="0" t="n">
        <v>818.6</v>
      </c>
      <c r="U59" s="0" t="n">
        <v>806.7</v>
      </c>
      <c r="V59" s="0" t="n">
        <v>801.5</v>
      </c>
      <c r="W59" s="0" t="n">
        <v>804</v>
      </c>
      <c r="X59" s="6" t="n">
        <f aca="false">AVERAGE(D59:W59)</f>
        <v>808.27</v>
      </c>
      <c r="Y59" s="7" t="n">
        <f aca="false">_xlfn.STDEV.S(D59:W59)</f>
        <v>3.82857675905812</v>
      </c>
      <c r="Z59" s="7" t="n">
        <f aca="false">Y59/X59</f>
        <v>0.00473675474662937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791.7</v>
      </c>
      <c r="E60" s="0" t="n">
        <v>789.9</v>
      </c>
      <c r="F60" s="0" t="n">
        <v>786.9</v>
      </c>
      <c r="G60" s="0" t="n">
        <v>781.5</v>
      </c>
      <c r="H60" s="0" t="n">
        <v>787.7</v>
      </c>
      <c r="I60" s="0" t="n">
        <v>799.1</v>
      </c>
      <c r="J60" s="0" t="n">
        <v>778.5</v>
      </c>
      <c r="K60" s="0" t="n">
        <v>772.8</v>
      </c>
      <c r="L60" s="0" t="n">
        <v>798</v>
      </c>
      <c r="M60" s="0" t="n">
        <v>785.3</v>
      </c>
      <c r="N60" s="0" t="n">
        <v>813.2</v>
      </c>
      <c r="O60" s="0" t="n">
        <v>769.2</v>
      </c>
      <c r="P60" s="0" t="n">
        <v>781.9</v>
      </c>
      <c r="Q60" s="0" t="n">
        <v>796.5</v>
      </c>
      <c r="R60" s="0" t="n">
        <v>774.8</v>
      </c>
      <c r="S60" s="0" t="n">
        <v>805.1</v>
      </c>
      <c r="T60" s="0" t="n">
        <v>780.3</v>
      </c>
      <c r="U60" s="0" t="n">
        <v>773.4</v>
      </c>
      <c r="V60" s="0" t="n">
        <v>784.8</v>
      </c>
      <c r="W60" s="0" t="n">
        <v>787.2</v>
      </c>
      <c r="X60" s="6" t="n">
        <f aca="false">AVERAGE(D60:W60)</f>
        <v>786.89</v>
      </c>
      <c r="Y60" s="7" t="n">
        <f aca="false">_xlfn.STDEV.S(D60:W60)</f>
        <v>11.3228181353547</v>
      </c>
      <c r="Z60" s="7" t="n">
        <f aca="false">Y60/X60</f>
        <v>0.0143893277781579</v>
      </c>
    </row>
    <row r="61" customFormat="false" ht="16.75" hidden="false" customHeight="false" outlineLevel="0" collapsed="false">
      <c r="B61" s="4"/>
      <c r="C61" s="5" t="n">
        <v>63</v>
      </c>
      <c r="D61" s="0" t="n">
        <v>850.8</v>
      </c>
      <c r="E61" s="0" t="n">
        <v>834.5</v>
      </c>
      <c r="F61" s="0" t="n">
        <v>831.1</v>
      </c>
      <c r="G61" s="0" t="n">
        <v>839.2</v>
      </c>
      <c r="H61" s="0" t="n">
        <v>838.6</v>
      </c>
      <c r="I61" s="0" t="n">
        <v>825.8</v>
      </c>
      <c r="J61" s="0" t="n">
        <v>847.1</v>
      </c>
      <c r="K61" s="0" t="n">
        <v>836</v>
      </c>
      <c r="L61" s="0" t="n">
        <v>834.7</v>
      </c>
      <c r="M61" s="0" t="n">
        <v>837.9</v>
      </c>
      <c r="N61" s="0" t="n">
        <v>829.7</v>
      </c>
      <c r="O61" s="0" t="n">
        <v>837</v>
      </c>
      <c r="P61" s="0" t="n">
        <v>831.5</v>
      </c>
      <c r="Q61" s="0" t="n">
        <v>816.5</v>
      </c>
      <c r="R61" s="0" t="n">
        <v>827.7</v>
      </c>
      <c r="S61" s="0" t="n">
        <v>835.1</v>
      </c>
      <c r="T61" s="0" t="n">
        <v>830.7</v>
      </c>
      <c r="U61" s="0" t="n">
        <v>827.3</v>
      </c>
      <c r="V61" s="0" t="n">
        <v>836.4</v>
      </c>
      <c r="W61" s="0" t="n">
        <v>818.3</v>
      </c>
      <c r="X61" s="6" t="n">
        <f aca="false">AVERAGE(D61:W61)</f>
        <v>833.295</v>
      </c>
      <c r="Y61" s="7" t="n">
        <f aca="false">_xlfn.STDEV.S(D61:W61)</f>
        <v>8.19701325580175</v>
      </c>
      <c r="Z61" s="7" t="n">
        <f aca="false">Y61/X61</f>
        <v>0.00983686840290863</v>
      </c>
    </row>
    <row r="62" customFormat="false" ht="16.75" hidden="false" customHeight="false" outlineLevel="0" collapsed="false">
      <c r="B62" s="4"/>
      <c r="C62" s="5" t="n">
        <v>93</v>
      </c>
      <c r="D62" s="0" t="n">
        <v>853.1</v>
      </c>
      <c r="E62" s="0" t="n">
        <v>861.5</v>
      </c>
      <c r="F62" s="0" t="n">
        <v>860.5</v>
      </c>
      <c r="G62" s="0" t="n">
        <v>858.6</v>
      </c>
      <c r="H62" s="0" t="n">
        <v>855.4</v>
      </c>
      <c r="I62" s="0" t="n">
        <v>851.1</v>
      </c>
      <c r="J62" s="0" t="n">
        <v>859.8</v>
      </c>
      <c r="K62" s="0" t="n">
        <v>862.4</v>
      </c>
      <c r="L62" s="0" t="n">
        <v>845.8</v>
      </c>
      <c r="M62" s="0" t="n">
        <v>852.1</v>
      </c>
      <c r="N62" s="0" t="n">
        <v>854.8</v>
      </c>
      <c r="O62" s="0" t="n">
        <v>859.7</v>
      </c>
      <c r="P62" s="0" t="n">
        <v>853.5</v>
      </c>
      <c r="Q62" s="0" t="n">
        <v>855.9</v>
      </c>
      <c r="R62" s="0" t="n">
        <v>854.1</v>
      </c>
      <c r="S62" s="0" t="n">
        <v>848.7</v>
      </c>
      <c r="T62" s="0" t="n">
        <v>857.6</v>
      </c>
      <c r="U62" s="0" t="n">
        <v>852.4</v>
      </c>
      <c r="V62" s="0" t="n">
        <v>854.4</v>
      </c>
      <c r="W62" s="0" t="n">
        <v>853</v>
      </c>
      <c r="X62" s="6" t="n">
        <f aca="false">AVERAGE(D62:W62)</f>
        <v>855.22</v>
      </c>
      <c r="Y62" s="7" t="n">
        <f aca="false">_xlfn.STDEV.S(D62:W62)</f>
        <v>4.3400945902862</v>
      </c>
      <c r="Z62" s="7" t="n">
        <f aca="false">Y62/X62</f>
        <v>0.00507482821997405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722.1</v>
      </c>
      <c r="E63" s="0" t="n">
        <v>732.2</v>
      </c>
      <c r="F63" s="0" t="n">
        <v>746.8</v>
      </c>
      <c r="G63" s="0" t="n">
        <v>722</v>
      </c>
      <c r="H63" s="0" t="n">
        <v>726</v>
      </c>
      <c r="I63" s="0" t="n">
        <v>723.4</v>
      </c>
      <c r="J63" s="0" t="n">
        <v>757.8</v>
      </c>
      <c r="K63" s="0" t="n">
        <v>738.5</v>
      </c>
      <c r="L63" s="0" t="n">
        <v>763.3</v>
      </c>
      <c r="M63" s="0" t="n">
        <v>713.9</v>
      </c>
      <c r="N63" s="0" t="n">
        <v>732.5</v>
      </c>
      <c r="O63" s="0" t="n">
        <v>758.6</v>
      </c>
      <c r="P63" s="0" t="n">
        <v>748</v>
      </c>
      <c r="Q63" s="0" t="n">
        <v>734.6</v>
      </c>
      <c r="R63" s="0" t="n">
        <v>756.2</v>
      </c>
      <c r="S63" s="0" t="n">
        <v>716.1</v>
      </c>
      <c r="T63" s="0" t="n">
        <v>739.7</v>
      </c>
      <c r="U63" s="0" t="n">
        <v>731.2</v>
      </c>
      <c r="V63" s="0" t="n">
        <v>757.8</v>
      </c>
      <c r="W63" s="0" t="n">
        <v>756.8</v>
      </c>
      <c r="X63" s="6" t="n">
        <f aca="false">AVERAGE(D63:W63)</f>
        <v>738.875</v>
      </c>
      <c r="Y63" s="7" t="n">
        <f aca="false">_xlfn.STDEV.S(D63:W63)</f>
        <v>15.8056577145487</v>
      </c>
      <c r="Z63" s="7" t="n">
        <f aca="false">Y63/X63</f>
        <v>0.0213915178000998</v>
      </c>
    </row>
    <row r="64" customFormat="false" ht="16.75" hidden="false" customHeight="false" outlineLevel="0" collapsed="false">
      <c r="B64" s="4"/>
      <c r="C64" s="5" t="n">
        <v>38</v>
      </c>
      <c r="D64" s="0" t="n">
        <v>800</v>
      </c>
      <c r="E64" s="0" t="n">
        <v>786.7</v>
      </c>
      <c r="F64" s="0" t="n">
        <v>760.1</v>
      </c>
      <c r="G64" s="0" t="n">
        <v>770.3</v>
      </c>
      <c r="H64" s="0" t="n">
        <v>792.5</v>
      </c>
      <c r="I64" s="0" t="n">
        <v>804.5</v>
      </c>
      <c r="J64" s="0" t="n">
        <v>812.8</v>
      </c>
      <c r="K64" s="0" t="n">
        <v>796.9</v>
      </c>
      <c r="L64" s="0" t="n">
        <v>777.4</v>
      </c>
      <c r="M64" s="0" t="n">
        <v>807.2</v>
      </c>
      <c r="N64" s="0" t="n">
        <v>788.6</v>
      </c>
      <c r="O64" s="0" t="n">
        <v>798.4</v>
      </c>
      <c r="P64" s="0" t="n">
        <v>790.1</v>
      </c>
      <c r="Q64" s="0" t="n">
        <v>774.2</v>
      </c>
      <c r="R64" s="0" t="n">
        <v>795.7</v>
      </c>
      <c r="S64" s="0" t="n">
        <v>796</v>
      </c>
      <c r="T64" s="0" t="n">
        <v>767.9</v>
      </c>
      <c r="U64" s="0" t="n">
        <v>789.9</v>
      </c>
      <c r="V64" s="0" t="n">
        <v>795.5</v>
      </c>
      <c r="W64" s="0" t="n">
        <v>778.7</v>
      </c>
      <c r="X64" s="6" t="n">
        <f aca="false">AVERAGE(D64:W64)</f>
        <v>789.17</v>
      </c>
      <c r="Y64" s="7" t="n">
        <f aca="false">_xlfn.STDEV.S(D64:W64)</f>
        <v>13.8692807084009</v>
      </c>
      <c r="Z64" s="7" t="n">
        <f aca="false">Y64/X64</f>
        <v>0.0175745158944218</v>
      </c>
    </row>
    <row r="65" customFormat="false" ht="16.75" hidden="false" customHeight="false" outlineLevel="0" collapsed="false">
      <c r="B65" s="4"/>
      <c r="C65" s="5" t="n">
        <v>50</v>
      </c>
      <c r="D65" s="0" t="n">
        <v>815.3</v>
      </c>
      <c r="E65" s="0" t="n">
        <v>790.3</v>
      </c>
      <c r="F65" s="0" t="n">
        <v>816.5</v>
      </c>
      <c r="G65" s="0" t="n">
        <v>787.5</v>
      </c>
      <c r="H65" s="0" t="n">
        <v>820.7</v>
      </c>
      <c r="I65" s="0" t="n">
        <v>806.3</v>
      </c>
      <c r="J65" s="0" t="n">
        <v>782.6</v>
      </c>
      <c r="K65" s="0" t="n">
        <v>818.5</v>
      </c>
      <c r="L65" s="0" t="n">
        <v>786.3</v>
      </c>
      <c r="M65" s="0" t="n">
        <v>816.1</v>
      </c>
      <c r="N65" s="0" t="n">
        <v>815.3</v>
      </c>
      <c r="O65" s="0" t="n">
        <v>805.5</v>
      </c>
      <c r="P65" s="0" t="n">
        <v>806.8</v>
      </c>
      <c r="Q65" s="0" t="n">
        <v>810.4</v>
      </c>
      <c r="R65" s="0" t="n">
        <v>811.1</v>
      </c>
      <c r="S65" s="0" t="n">
        <v>789.4</v>
      </c>
      <c r="T65" s="0" t="n">
        <v>809.2</v>
      </c>
      <c r="U65" s="0" t="n">
        <v>821.8</v>
      </c>
      <c r="V65" s="0" t="n">
        <v>807.3</v>
      </c>
      <c r="W65" s="0" t="n">
        <v>813.5</v>
      </c>
      <c r="X65" s="6" t="n">
        <f aca="false">AVERAGE(D65:W65)</f>
        <v>806.52</v>
      </c>
      <c r="Y65" s="7" t="n">
        <f aca="false">_xlfn.STDEV.S(D65:W65)</f>
        <v>12.3890698856524</v>
      </c>
      <c r="Z65" s="7" t="n">
        <f aca="false">Y65/X65</f>
        <v>0.015361144033195</v>
      </c>
    </row>
    <row r="66" customFormat="false" ht="16.75" hidden="false" customHeight="false" outlineLevel="0" collapsed="false">
      <c r="B66" s="4"/>
      <c r="C66" s="5" t="n">
        <v>75</v>
      </c>
      <c r="D66" s="0" t="n">
        <v>825.2</v>
      </c>
      <c r="E66" s="0" t="n">
        <v>833.7</v>
      </c>
      <c r="F66" s="0" t="n">
        <v>826.9</v>
      </c>
      <c r="G66" s="0" t="n">
        <v>802.2</v>
      </c>
      <c r="H66" s="0" t="n">
        <v>825.9</v>
      </c>
      <c r="I66" s="0" t="n">
        <v>803.7</v>
      </c>
      <c r="J66" s="0" t="n">
        <v>828.1</v>
      </c>
      <c r="K66" s="0" t="n">
        <v>799.8</v>
      </c>
      <c r="L66" s="0" t="n">
        <v>795.6</v>
      </c>
      <c r="M66" s="0" t="n">
        <v>844.6</v>
      </c>
      <c r="N66" s="0" t="n">
        <v>829.3</v>
      </c>
      <c r="O66" s="0" t="n">
        <v>824.3</v>
      </c>
      <c r="P66" s="0" t="n">
        <v>798.1</v>
      </c>
      <c r="Q66" s="0" t="n">
        <v>802.1</v>
      </c>
      <c r="R66" s="0" t="n">
        <v>808.9</v>
      </c>
      <c r="S66" s="0" t="n">
        <v>814.8</v>
      </c>
      <c r="T66" s="0" t="n">
        <v>827.4</v>
      </c>
      <c r="U66" s="0" t="n">
        <v>819.7</v>
      </c>
      <c r="V66" s="0" t="n">
        <v>817.5</v>
      </c>
      <c r="W66" s="0" t="n">
        <v>830.1</v>
      </c>
      <c r="X66" s="6" t="n">
        <f aca="false">AVERAGE(D66:W66)</f>
        <v>817.895</v>
      </c>
      <c r="Y66" s="7" t="n">
        <f aca="false">_xlfn.STDEV.S(D66:W66)</f>
        <v>13.9238332214569</v>
      </c>
      <c r="Z66" s="7" t="n">
        <f aca="false">Y66/X66</f>
        <v>0.017023986234733</v>
      </c>
    </row>
    <row r="67" customFormat="false" ht="16.75" hidden="false" customHeight="false" outlineLevel="0" collapsed="false">
      <c r="B67" s="4"/>
      <c r="C67" s="5" t="n">
        <v>100</v>
      </c>
      <c r="D67" s="0" t="n">
        <v>825.4</v>
      </c>
      <c r="E67" s="0" t="n">
        <v>847.5</v>
      </c>
      <c r="F67" s="0" t="n">
        <v>829.9</v>
      </c>
      <c r="G67" s="0" t="n">
        <v>811.6</v>
      </c>
      <c r="H67" s="0" t="n">
        <v>837.7</v>
      </c>
      <c r="I67" s="0" t="n">
        <v>832.4</v>
      </c>
      <c r="J67" s="0" t="n">
        <v>838.3</v>
      </c>
      <c r="K67" s="0" t="n">
        <v>806</v>
      </c>
      <c r="L67" s="0" t="n">
        <v>839.9</v>
      </c>
      <c r="M67" s="0" t="n">
        <v>801.4</v>
      </c>
      <c r="N67" s="0" t="n">
        <v>721.2</v>
      </c>
      <c r="O67" s="0" t="n">
        <v>825.7</v>
      </c>
      <c r="P67" s="0" t="n">
        <v>831.5</v>
      </c>
      <c r="Q67" s="0" t="n">
        <v>832.2</v>
      </c>
      <c r="R67" s="0" t="n">
        <v>834</v>
      </c>
      <c r="S67" s="0" t="n">
        <v>810.2</v>
      </c>
      <c r="T67" s="0" t="n">
        <v>800.5</v>
      </c>
      <c r="U67" s="0" t="n">
        <v>811.4</v>
      </c>
      <c r="V67" s="0" t="n">
        <v>823.3</v>
      </c>
      <c r="W67" s="0" t="n">
        <v>838.3</v>
      </c>
      <c r="X67" s="6" t="n">
        <f aca="false">AVERAGE(D67:W67)</f>
        <v>819.92</v>
      </c>
      <c r="Y67" s="7" t="n">
        <f aca="false">_xlfn.STDEV.S(D67:W67)</f>
        <v>27.0095616597647</v>
      </c>
      <c r="Z67" s="7" t="n">
        <f aca="false">Y67/X67</f>
        <v>0.032941703653728</v>
      </c>
    </row>
    <row r="68" customFormat="false" ht="16.75" hidden="false" customHeight="false" outlineLevel="0" collapsed="false">
      <c r="B68" s="4"/>
      <c r="C68" s="5" t="n">
        <v>150</v>
      </c>
      <c r="D68" s="0" t="n">
        <v>854.4</v>
      </c>
      <c r="E68" s="0" t="n">
        <v>823.5</v>
      </c>
      <c r="F68" s="0" t="n">
        <v>824.8</v>
      </c>
      <c r="G68" s="0" t="n">
        <v>850.3</v>
      </c>
      <c r="H68" s="0" t="n">
        <v>828.3</v>
      </c>
      <c r="I68" s="0" t="n">
        <v>842.4</v>
      </c>
      <c r="J68" s="0" t="n">
        <v>821</v>
      </c>
      <c r="K68" s="0" t="n">
        <v>824.6</v>
      </c>
      <c r="L68" s="0" t="n">
        <v>820</v>
      </c>
      <c r="M68" s="0" t="n">
        <v>846.8</v>
      </c>
      <c r="N68" s="0" t="n">
        <v>850.8</v>
      </c>
      <c r="O68" s="0" t="n">
        <v>846.4</v>
      </c>
      <c r="P68" s="0" t="n">
        <v>851.5</v>
      </c>
      <c r="Q68" s="0" t="n">
        <v>849.1</v>
      </c>
      <c r="R68" s="0" t="n">
        <v>849</v>
      </c>
      <c r="S68" s="0" t="n">
        <v>809.6</v>
      </c>
      <c r="T68" s="0" t="n">
        <v>821.8</v>
      </c>
      <c r="U68" s="0" t="n">
        <v>840.8</v>
      </c>
      <c r="V68" s="0" t="n">
        <v>834.4</v>
      </c>
      <c r="W68" s="0" t="n">
        <v>843.6</v>
      </c>
      <c r="X68" s="6" t="n">
        <f aca="false">AVERAGE(D68:W68)</f>
        <v>836.655</v>
      </c>
      <c r="Y68" s="7" t="n">
        <f aca="false">_xlfn.STDEV.S(D68:W68)</f>
        <v>13.6382386191025</v>
      </c>
      <c r="Z68" s="7" t="n">
        <f aca="false">Y68/X68</f>
        <v>0.0163009109120277</v>
      </c>
    </row>
    <row r="69" customFormat="false" ht="15" hidden="false" customHeight="true" outlineLevel="0" collapsed="false">
      <c r="A69" s="1" t="s">
        <v>33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875.6</v>
      </c>
      <c r="E74" s="0" t="n">
        <v>883.1</v>
      </c>
      <c r="F74" s="0" t="n">
        <v>866.3</v>
      </c>
      <c r="G74" s="0" t="n">
        <v>870.2</v>
      </c>
      <c r="H74" s="0" t="n">
        <v>866.9</v>
      </c>
      <c r="I74" s="0" t="n">
        <v>870.5</v>
      </c>
      <c r="J74" s="0" t="n">
        <v>874.3</v>
      </c>
      <c r="K74" s="0" t="n">
        <v>867.1</v>
      </c>
      <c r="L74" s="0" t="n">
        <v>882</v>
      </c>
      <c r="M74" s="0" t="n">
        <v>862.9</v>
      </c>
      <c r="N74" s="0" t="n">
        <v>868.7</v>
      </c>
      <c r="O74" s="0" t="n">
        <v>869.7</v>
      </c>
      <c r="P74" s="0" t="n">
        <v>872.2</v>
      </c>
      <c r="Q74" s="0" t="n">
        <v>871</v>
      </c>
      <c r="R74" s="0" t="n">
        <v>870.3</v>
      </c>
      <c r="S74" s="0" t="n">
        <v>870.8</v>
      </c>
      <c r="T74" s="0" t="n">
        <v>874</v>
      </c>
      <c r="U74" s="0" t="n">
        <v>870.4</v>
      </c>
      <c r="V74" s="0" t="n">
        <v>868.4</v>
      </c>
      <c r="W74" s="0" t="n">
        <v>864.3</v>
      </c>
      <c r="X74" s="6" t="n">
        <f aca="false">AVERAGE(D74:W74)</f>
        <v>870.935</v>
      </c>
      <c r="Y74" s="7" t="n">
        <f aca="false">_xlfn.STDEV.S(D74:W74)</f>
        <v>5.0780513253765</v>
      </c>
      <c r="Z74" s="7" t="n">
        <f aca="false">Y74/X74</f>
        <v>0.00583057441184072</v>
      </c>
    </row>
    <row r="75" customFormat="false" ht="16.75" hidden="false" customHeight="false" outlineLevel="0" collapsed="false">
      <c r="B75" s="4"/>
      <c r="C75" s="5" t="n">
        <v>25</v>
      </c>
      <c r="D75" s="0" t="n">
        <v>887.7</v>
      </c>
      <c r="E75" s="0" t="n">
        <v>881.2</v>
      </c>
      <c r="F75" s="0" t="n">
        <v>882.7</v>
      </c>
      <c r="G75" s="0" t="n">
        <v>885</v>
      </c>
      <c r="H75" s="0" t="n">
        <v>885.3</v>
      </c>
      <c r="I75" s="0" t="n">
        <v>888.5</v>
      </c>
      <c r="J75" s="0" t="n">
        <v>882.2</v>
      </c>
      <c r="K75" s="0" t="n">
        <v>885.4</v>
      </c>
      <c r="L75" s="0" t="n">
        <v>881.1</v>
      </c>
      <c r="M75" s="0" t="n">
        <v>885.5</v>
      </c>
      <c r="N75" s="0" t="n">
        <v>881.5</v>
      </c>
      <c r="O75" s="0" t="n">
        <v>886.9</v>
      </c>
      <c r="P75" s="0" t="n">
        <v>888</v>
      </c>
      <c r="Q75" s="0" t="n">
        <v>882.2</v>
      </c>
      <c r="R75" s="0" t="n">
        <v>883.9</v>
      </c>
      <c r="S75" s="0" t="n">
        <v>886.3</v>
      </c>
      <c r="T75" s="0" t="n">
        <v>885.5</v>
      </c>
      <c r="U75" s="0" t="n">
        <v>883.3</v>
      </c>
      <c r="V75" s="0" t="n">
        <v>885.1</v>
      </c>
      <c r="W75" s="0" t="n">
        <v>884.9</v>
      </c>
      <c r="X75" s="6" t="n">
        <f aca="false">AVERAGE(D75:W75)</f>
        <v>884.61</v>
      </c>
      <c r="Y75" s="7" t="n">
        <f aca="false">_xlfn.STDEV.S(D75:W75)</f>
        <v>2.27732530094313</v>
      </c>
      <c r="Z75" s="7" t="n">
        <f aca="false">Y75/X75</f>
        <v>0.00257438340166077</v>
      </c>
    </row>
    <row r="76" customFormat="false" ht="16.75" hidden="false" customHeight="false" outlineLevel="0" collapsed="false">
      <c r="B76" s="4"/>
      <c r="C76" s="5" t="n">
        <v>38</v>
      </c>
      <c r="D76" s="0" t="n">
        <v>885.3</v>
      </c>
      <c r="E76" s="0" t="n">
        <v>884.4</v>
      </c>
      <c r="F76" s="0" t="n">
        <v>883.8</v>
      </c>
      <c r="G76" s="0" t="n">
        <v>888.8</v>
      </c>
      <c r="H76" s="0" t="n">
        <v>890.6</v>
      </c>
      <c r="I76" s="0" t="n">
        <v>890.2</v>
      </c>
      <c r="J76" s="0" t="n">
        <v>882.7</v>
      </c>
      <c r="K76" s="0" t="n">
        <v>893</v>
      </c>
      <c r="L76" s="0" t="n">
        <v>884.9</v>
      </c>
      <c r="M76" s="0" t="n">
        <v>890</v>
      </c>
      <c r="N76" s="0" t="n">
        <v>887.8</v>
      </c>
      <c r="O76" s="0" t="n">
        <v>885.1</v>
      </c>
      <c r="P76" s="0" t="n">
        <v>884</v>
      </c>
      <c r="Q76" s="0" t="n">
        <v>889.3</v>
      </c>
      <c r="R76" s="0" t="n">
        <v>884.2</v>
      </c>
      <c r="S76" s="0" t="n">
        <v>884.8</v>
      </c>
      <c r="T76" s="0" t="n">
        <v>881.6</v>
      </c>
      <c r="U76" s="0" t="n">
        <v>884.1</v>
      </c>
      <c r="V76" s="0" t="n">
        <v>885.2</v>
      </c>
      <c r="W76" s="0" t="n">
        <v>895.9</v>
      </c>
      <c r="X76" s="6" t="n">
        <f aca="false">AVERAGE(D76:W76)</f>
        <v>886.785</v>
      </c>
      <c r="Y76" s="7" t="n">
        <f aca="false">_xlfn.STDEV.S(D76:W76)</f>
        <v>3.73141358849713</v>
      </c>
      <c r="Z76" s="7" t="n">
        <f aca="false">Y76/X76</f>
        <v>0.00420779962279146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813</v>
      </c>
      <c r="E77" s="0" t="n">
        <v>852.2</v>
      </c>
      <c r="F77" s="0" t="n">
        <v>806.3</v>
      </c>
      <c r="G77" s="0" t="n">
        <v>846.3</v>
      </c>
      <c r="H77" s="0" t="n">
        <v>833.5</v>
      </c>
      <c r="I77" s="0" t="n">
        <v>813.8</v>
      </c>
      <c r="J77" s="0" t="n">
        <v>836</v>
      </c>
      <c r="K77" s="0" t="n">
        <v>841.6</v>
      </c>
      <c r="L77" s="0" t="n">
        <v>832.1</v>
      </c>
      <c r="M77" s="0" t="n">
        <v>838.6</v>
      </c>
      <c r="N77" s="0" t="n">
        <v>819.7</v>
      </c>
      <c r="O77" s="0" t="n">
        <v>827.7</v>
      </c>
      <c r="P77" s="0" t="n">
        <v>816.5</v>
      </c>
      <c r="Q77" s="0" t="n">
        <v>828.2</v>
      </c>
      <c r="R77" s="0" t="n">
        <v>826.4</v>
      </c>
      <c r="S77" s="0" t="n">
        <v>825.3</v>
      </c>
      <c r="T77" s="0" t="n">
        <v>832.8</v>
      </c>
      <c r="U77" s="0" t="n">
        <v>859</v>
      </c>
      <c r="V77" s="0" t="n">
        <v>800.9</v>
      </c>
      <c r="W77" s="0" t="n">
        <v>819.1</v>
      </c>
      <c r="X77" s="6" t="n">
        <f aca="false">AVERAGE(D77:W77)</f>
        <v>828.45</v>
      </c>
      <c r="Y77" s="7" t="n">
        <f aca="false">_xlfn.STDEV.S(D77:W77)</f>
        <v>14.9229071529222</v>
      </c>
      <c r="Z77" s="7" t="n">
        <f aca="false">Y77/X77</f>
        <v>0.018013045027367</v>
      </c>
    </row>
    <row r="78" customFormat="false" ht="16.75" hidden="false" customHeight="false" outlineLevel="0" collapsed="false">
      <c r="B78" s="4"/>
      <c r="C78" s="5" t="n">
        <v>63</v>
      </c>
      <c r="D78" s="0" t="n">
        <v>851</v>
      </c>
      <c r="E78" s="0" t="n">
        <v>883.5</v>
      </c>
      <c r="F78" s="0" t="n">
        <v>854.3</v>
      </c>
      <c r="G78" s="0" t="n">
        <v>862.8</v>
      </c>
      <c r="H78" s="0" t="n">
        <v>856.4</v>
      </c>
      <c r="I78" s="0" t="n">
        <v>866.8</v>
      </c>
      <c r="J78" s="0" t="n">
        <v>870.5</v>
      </c>
      <c r="K78" s="0" t="n">
        <v>868.2</v>
      </c>
      <c r="L78" s="0" t="n">
        <v>858</v>
      </c>
      <c r="M78" s="0" t="n">
        <v>874.2</v>
      </c>
      <c r="N78" s="0" t="n">
        <v>852.5</v>
      </c>
      <c r="O78" s="0" t="n">
        <v>865.1</v>
      </c>
      <c r="P78" s="0" t="n">
        <v>852.2</v>
      </c>
      <c r="Q78" s="0" t="n">
        <v>858.2</v>
      </c>
      <c r="R78" s="0" t="n">
        <v>858.1</v>
      </c>
      <c r="S78" s="0" t="n">
        <v>874.5</v>
      </c>
      <c r="T78" s="0" t="n">
        <v>855.8</v>
      </c>
      <c r="U78" s="0" t="n">
        <v>864.6</v>
      </c>
      <c r="V78" s="0" t="n">
        <v>877.8</v>
      </c>
      <c r="W78" s="0" t="n">
        <v>864.1</v>
      </c>
      <c r="X78" s="6" t="n">
        <f aca="false">AVERAGE(D78:W78)</f>
        <v>863.43</v>
      </c>
      <c r="Y78" s="7" t="n">
        <f aca="false">_xlfn.STDEV.S(D78:W78)</f>
        <v>9.2145822648555</v>
      </c>
      <c r="Z78" s="7" t="n">
        <f aca="false">Y78/X78</f>
        <v>0.0106720663688492</v>
      </c>
    </row>
    <row r="79" customFormat="false" ht="16.75" hidden="false" customHeight="false" outlineLevel="0" collapsed="false">
      <c r="B79" s="4"/>
      <c r="C79" s="5" t="n">
        <v>93</v>
      </c>
      <c r="D79" s="0" t="n">
        <v>873.6</v>
      </c>
      <c r="E79" s="0" t="n">
        <v>875.7</v>
      </c>
      <c r="F79" s="0" t="n">
        <v>875.7</v>
      </c>
      <c r="G79" s="0" t="n">
        <v>876.2</v>
      </c>
      <c r="H79" s="0" t="n">
        <v>878.8</v>
      </c>
      <c r="I79" s="0" t="n">
        <v>875.2</v>
      </c>
      <c r="J79" s="0" t="n">
        <v>874.1</v>
      </c>
      <c r="K79" s="0" t="n">
        <v>876</v>
      </c>
      <c r="L79" s="0" t="n">
        <v>869.9</v>
      </c>
      <c r="M79" s="0" t="n">
        <v>871.8</v>
      </c>
      <c r="N79" s="0" t="n">
        <v>872.3</v>
      </c>
      <c r="O79" s="0" t="n">
        <v>878.4</v>
      </c>
      <c r="P79" s="0" t="n">
        <v>874</v>
      </c>
      <c r="Q79" s="0" t="n">
        <v>873.3</v>
      </c>
      <c r="R79" s="0" t="n">
        <v>869.7</v>
      </c>
      <c r="S79" s="0" t="n">
        <v>864.6</v>
      </c>
      <c r="T79" s="0" t="n">
        <v>876.2</v>
      </c>
      <c r="U79" s="0" t="n">
        <v>870.7</v>
      </c>
      <c r="V79" s="0" t="n">
        <v>868.4</v>
      </c>
      <c r="W79" s="0" t="n">
        <v>871.4</v>
      </c>
      <c r="X79" s="6" t="n">
        <f aca="false">AVERAGE(D79:W79)</f>
        <v>873.3</v>
      </c>
      <c r="Y79" s="7" t="n">
        <f aca="false">_xlfn.STDEV.S(D79:W79)</f>
        <v>3.51358266700739</v>
      </c>
      <c r="Z79" s="7" t="n">
        <f aca="false">Y79/X79</f>
        <v>0.00402333982252077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799.9</v>
      </c>
      <c r="E80" s="0" t="n">
        <v>768.5</v>
      </c>
      <c r="F80" s="0" t="n">
        <v>789.1</v>
      </c>
      <c r="G80" s="0" t="n">
        <v>765.9</v>
      </c>
      <c r="H80" s="0" t="n">
        <v>769.9</v>
      </c>
      <c r="I80" s="0" t="n">
        <v>773</v>
      </c>
      <c r="J80" s="0" t="n">
        <v>768.7</v>
      </c>
      <c r="K80" s="0" t="n">
        <v>790.4</v>
      </c>
      <c r="L80" s="0" t="n">
        <v>802.6</v>
      </c>
      <c r="M80" s="0" t="n">
        <v>769.5</v>
      </c>
      <c r="N80" s="0" t="n">
        <v>791.5</v>
      </c>
      <c r="O80" s="0" t="n">
        <v>779.2</v>
      </c>
      <c r="P80" s="0" t="n">
        <v>778.1</v>
      </c>
      <c r="Q80" s="0" t="n">
        <v>777.5</v>
      </c>
      <c r="R80" s="0" t="n">
        <v>789.8</v>
      </c>
      <c r="S80" s="0" t="n">
        <v>770.3</v>
      </c>
      <c r="T80" s="0" t="n">
        <v>786.1</v>
      </c>
      <c r="U80" s="0" t="n">
        <v>790.2</v>
      </c>
      <c r="V80" s="0" t="n">
        <v>781.3</v>
      </c>
      <c r="W80" s="0" t="n">
        <v>768.6</v>
      </c>
      <c r="X80" s="6" t="n">
        <f aca="false">AVERAGE(D80:W80)</f>
        <v>780.505</v>
      </c>
      <c r="Y80" s="7" t="n">
        <f aca="false">_xlfn.STDEV.S(D80:W80)</f>
        <v>11.2820992354213</v>
      </c>
      <c r="Z80" s="7" t="n">
        <f aca="false">Y80/X80</f>
        <v>0.0144548711865028</v>
      </c>
    </row>
    <row r="81" customFormat="false" ht="16.75" hidden="false" customHeight="false" outlineLevel="0" collapsed="false">
      <c r="B81" s="4"/>
      <c r="C81" s="5" t="n">
        <v>38</v>
      </c>
      <c r="D81" s="0" t="n">
        <v>805.5</v>
      </c>
      <c r="E81" s="0" t="n">
        <v>808.4</v>
      </c>
      <c r="F81" s="0" t="n">
        <v>807.7</v>
      </c>
      <c r="G81" s="0" t="n">
        <v>805.3</v>
      </c>
      <c r="H81" s="0" t="n">
        <v>806.4</v>
      </c>
      <c r="I81" s="0" t="n">
        <v>807.2</v>
      </c>
      <c r="J81" s="0" t="n">
        <v>806.4</v>
      </c>
      <c r="K81" s="0" t="n">
        <v>817.5</v>
      </c>
      <c r="L81" s="0" t="n">
        <v>800.2</v>
      </c>
      <c r="M81" s="0" t="n">
        <v>801.6</v>
      </c>
      <c r="N81" s="0" t="n">
        <v>811.6</v>
      </c>
      <c r="O81" s="0" t="n">
        <v>808.3</v>
      </c>
      <c r="P81" s="0" t="n">
        <v>798.7</v>
      </c>
      <c r="Q81" s="0" t="n">
        <v>815</v>
      </c>
      <c r="R81" s="0" t="n">
        <v>809.7</v>
      </c>
      <c r="S81" s="0" t="n">
        <v>820.2</v>
      </c>
      <c r="T81" s="0" t="n">
        <v>805.6</v>
      </c>
      <c r="U81" s="0" t="n">
        <v>802.4</v>
      </c>
      <c r="V81" s="0" t="n">
        <v>810.2</v>
      </c>
      <c r="W81" s="0" t="n">
        <v>824.1</v>
      </c>
      <c r="X81" s="6" t="n">
        <f aca="false">AVERAGE(D81:W81)</f>
        <v>808.6</v>
      </c>
      <c r="Y81" s="7" t="n">
        <f aca="false">_xlfn.STDEV.S(D81:W81)</f>
        <v>6.51249810586901</v>
      </c>
      <c r="Z81" s="7" t="n">
        <f aca="false">Y81/X81</f>
        <v>0.00805404168423078</v>
      </c>
    </row>
    <row r="82" customFormat="false" ht="16.75" hidden="false" customHeight="false" outlineLevel="0" collapsed="false">
      <c r="B82" s="4"/>
      <c r="C82" s="5" t="n">
        <v>50</v>
      </c>
      <c r="D82" s="0" t="n">
        <v>809.9</v>
      </c>
      <c r="E82" s="0" t="n">
        <v>806.2</v>
      </c>
      <c r="F82" s="0" t="n">
        <v>787.4</v>
      </c>
      <c r="G82" s="0" t="n">
        <v>804.2</v>
      </c>
      <c r="H82" s="0" t="n">
        <v>813.4</v>
      </c>
      <c r="I82" s="0" t="n">
        <v>810.9</v>
      </c>
      <c r="J82" s="0" t="n">
        <v>793.2</v>
      </c>
      <c r="K82" s="0" t="n">
        <v>792.2</v>
      </c>
      <c r="L82" s="0" t="n">
        <v>808</v>
      </c>
      <c r="M82" s="0" t="n">
        <v>807.1</v>
      </c>
      <c r="N82" s="0" t="n">
        <v>807.7</v>
      </c>
      <c r="O82" s="0" t="n">
        <v>812.4</v>
      </c>
      <c r="P82" s="0" t="n">
        <v>809.6</v>
      </c>
      <c r="Q82" s="0" t="n">
        <v>802.7</v>
      </c>
      <c r="R82" s="0" t="n">
        <v>811.1</v>
      </c>
      <c r="S82" s="0" t="n">
        <v>818.6</v>
      </c>
      <c r="T82" s="0" t="n">
        <v>818.7</v>
      </c>
      <c r="U82" s="0" t="n">
        <v>809.5</v>
      </c>
      <c r="V82" s="0" t="n">
        <v>817.7</v>
      </c>
      <c r="W82" s="0" t="n">
        <v>806.7</v>
      </c>
      <c r="X82" s="6" t="n">
        <f aca="false">AVERAGE(D82:W82)</f>
        <v>807.36</v>
      </c>
      <c r="Y82" s="7" t="n">
        <f aca="false">_xlfn.STDEV.S(D82:W82)</f>
        <v>8.36379415286979</v>
      </c>
      <c r="Z82" s="7" t="n">
        <f aca="false">Y82/X82</f>
        <v>0.0103594358809822</v>
      </c>
    </row>
    <row r="83" customFormat="false" ht="16.75" hidden="false" customHeight="false" outlineLevel="0" collapsed="false">
      <c r="B83" s="4"/>
      <c r="C83" s="5" t="n">
        <v>75</v>
      </c>
      <c r="D83" s="0" t="n">
        <v>839.8</v>
      </c>
      <c r="E83" s="0" t="n">
        <v>825.1</v>
      </c>
      <c r="F83" s="0" t="n">
        <v>818.1</v>
      </c>
      <c r="G83" s="0" t="n">
        <v>833.9</v>
      </c>
      <c r="H83" s="0" t="n">
        <v>836.4</v>
      </c>
      <c r="I83" s="0" t="n">
        <v>819.9</v>
      </c>
      <c r="J83" s="0" t="n">
        <v>815.8</v>
      </c>
      <c r="K83" s="0" t="n">
        <v>819.6</v>
      </c>
      <c r="L83" s="0" t="n">
        <v>827.6</v>
      </c>
      <c r="M83" s="0" t="n">
        <v>817.1</v>
      </c>
      <c r="N83" s="0" t="n">
        <v>822.3</v>
      </c>
      <c r="O83" s="0" t="n">
        <v>835.7</v>
      </c>
      <c r="P83" s="0" t="n">
        <v>822.2</v>
      </c>
      <c r="Q83" s="0" t="n">
        <v>827.1</v>
      </c>
      <c r="R83" s="0" t="n">
        <v>818.1</v>
      </c>
      <c r="S83" s="0" t="n">
        <v>838.9</v>
      </c>
      <c r="T83" s="0" t="n">
        <v>818.3</v>
      </c>
      <c r="U83" s="0" t="n">
        <v>823.2</v>
      </c>
      <c r="V83" s="0" t="n">
        <v>816.2</v>
      </c>
      <c r="W83" s="0" t="n">
        <v>825</v>
      </c>
      <c r="X83" s="6" t="n">
        <f aca="false">AVERAGE(D83:W83)</f>
        <v>825.015</v>
      </c>
      <c r="Y83" s="7" t="n">
        <f aca="false">_xlfn.STDEV.S(D83:W83)</f>
        <v>7.89811936309424</v>
      </c>
      <c r="Z83" s="7" t="n">
        <f aca="false">Y83/X83</f>
        <v>0.00957330395579988</v>
      </c>
    </row>
    <row r="84" customFormat="false" ht="16.75" hidden="false" customHeight="false" outlineLevel="0" collapsed="false">
      <c r="B84" s="4"/>
      <c r="C84" s="5" t="n">
        <v>100</v>
      </c>
      <c r="D84" s="0" t="n">
        <v>837.3</v>
      </c>
      <c r="E84" s="0" t="n">
        <v>826.3</v>
      </c>
      <c r="F84" s="0" t="n">
        <v>816.2</v>
      </c>
      <c r="G84" s="0" t="n">
        <v>829.2</v>
      </c>
      <c r="H84" s="0" t="n">
        <v>827.2</v>
      </c>
      <c r="I84" s="0" t="n">
        <v>836.7</v>
      </c>
      <c r="J84" s="0" t="n">
        <v>828.7</v>
      </c>
      <c r="K84" s="0" t="n">
        <v>837.7</v>
      </c>
      <c r="L84" s="0" t="n">
        <v>824.3</v>
      </c>
      <c r="M84" s="0" t="n">
        <v>827.2</v>
      </c>
      <c r="N84" s="0" t="n">
        <v>827.7</v>
      </c>
      <c r="O84" s="0" t="n">
        <v>826.3</v>
      </c>
      <c r="P84" s="0" t="n">
        <v>845.5</v>
      </c>
      <c r="Q84" s="0" t="n">
        <v>827.5</v>
      </c>
      <c r="R84" s="0" t="n">
        <v>828.7</v>
      </c>
      <c r="S84" s="0" t="n">
        <v>830.9</v>
      </c>
      <c r="T84" s="0" t="n">
        <v>831</v>
      </c>
      <c r="U84" s="0" t="n">
        <v>822.4</v>
      </c>
      <c r="V84" s="0" t="n">
        <v>824.7</v>
      </c>
      <c r="W84" s="0" t="n">
        <v>841.8</v>
      </c>
      <c r="X84" s="6" t="n">
        <f aca="false">AVERAGE(D84:W84)</f>
        <v>829.865</v>
      </c>
      <c r="Y84" s="7" t="n">
        <f aca="false">_xlfn.STDEV.S(D84:W84)</f>
        <v>6.90463421798798</v>
      </c>
      <c r="Z84" s="7" t="n">
        <f aca="false">Y84/X84</f>
        <v>0.00832018969107985</v>
      </c>
    </row>
    <row r="85" customFormat="false" ht="16.75" hidden="false" customHeight="false" outlineLevel="0" collapsed="false">
      <c r="B85" s="4"/>
      <c r="C85" s="5" t="n">
        <v>150</v>
      </c>
      <c r="D85" s="0" t="n">
        <v>844.8</v>
      </c>
      <c r="E85" s="0" t="n">
        <v>839.3</v>
      </c>
      <c r="F85" s="0" t="n">
        <v>851.2</v>
      </c>
      <c r="G85" s="0" t="n">
        <v>864.3</v>
      </c>
      <c r="H85" s="0" t="n">
        <v>849.5</v>
      </c>
      <c r="I85" s="0" t="n">
        <v>863</v>
      </c>
      <c r="J85" s="0" t="n">
        <v>845</v>
      </c>
      <c r="K85" s="0" t="n">
        <v>851.5</v>
      </c>
      <c r="L85" s="0" t="n">
        <v>848.9</v>
      </c>
      <c r="M85" s="0" t="n">
        <v>849.1</v>
      </c>
      <c r="N85" s="0" t="n">
        <v>840.2</v>
      </c>
      <c r="O85" s="0" t="n">
        <v>859.5</v>
      </c>
      <c r="P85" s="0" t="n">
        <v>848.3</v>
      </c>
      <c r="Q85" s="0" t="n">
        <v>850.6</v>
      </c>
      <c r="R85" s="0" t="n">
        <v>841.5</v>
      </c>
      <c r="S85" s="0" t="n">
        <v>852.3</v>
      </c>
      <c r="T85" s="0" t="n">
        <v>844.6</v>
      </c>
      <c r="U85" s="0" t="n">
        <v>845.4</v>
      </c>
      <c r="V85" s="0" t="n">
        <v>845.8</v>
      </c>
      <c r="W85" s="0" t="n">
        <v>841.9</v>
      </c>
      <c r="X85" s="6" t="n">
        <f aca="false">AVERAGE(D85:W85)</f>
        <v>848.835</v>
      </c>
      <c r="Y85" s="7" t="n">
        <f aca="false">_xlfn.STDEV.S(D85:W85)</f>
        <v>6.95657772789254</v>
      </c>
      <c r="Z85" s="7" t="n">
        <f aca="false">Y85/X85</f>
        <v>0.00819544166757089</v>
      </c>
    </row>
    <row r="86" customFormat="false" ht="15" hidden="false" customHeight="true" outlineLevel="0" collapsed="false">
      <c r="A86" s="1" t="s">
        <v>33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885.5</v>
      </c>
      <c r="E91" s="0" t="n">
        <v>877.4</v>
      </c>
      <c r="F91" s="0" t="n">
        <v>880.5</v>
      </c>
      <c r="G91" s="0" t="n">
        <v>888.6</v>
      </c>
      <c r="H91" s="0" t="n">
        <v>873.9</v>
      </c>
      <c r="I91" s="0" t="n">
        <v>879</v>
      </c>
      <c r="J91" s="0" t="n">
        <v>876</v>
      </c>
      <c r="K91" s="0" t="n">
        <v>877.5</v>
      </c>
      <c r="L91" s="0" t="n">
        <v>873.5</v>
      </c>
      <c r="M91" s="0" t="n">
        <v>891.4</v>
      </c>
      <c r="N91" s="0" t="n">
        <v>877</v>
      </c>
      <c r="O91" s="0" t="n">
        <v>875.1</v>
      </c>
      <c r="P91" s="0" t="n">
        <v>883.4</v>
      </c>
      <c r="Q91" s="0" t="n">
        <v>873.1</v>
      </c>
      <c r="R91" s="0" t="n">
        <v>879.8</v>
      </c>
      <c r="S91" s="0" t="n">
        <v>882.6</v>
      </c>
      <c r="T91" s="0" t="n">
        <v>871.6</v>
      </c>
      <c r="U91" s="0" t="n">
        <v>878.3</v>
      </c>
      <c r="V91" s="0" t="n">
        <v>891.1</v>
      </c>
      <c r="W91" s="0" t="n">
        <v>882.3</v>
      </c>
      <c r="X91" s="6" t="n">
        <f aca="false">AVERAGE(D91:W91)</f>
        <v>879.88</v>
      </c>
      <c r="Y91" s="7" t="n">
        <f aca="false">_xlfn.STDEV.S(D91:W91)</f>
        <v>5.82432286554456</v>
      </c>
      <c r="Z91" s="7" t="n">
        <f aca="false">Y91/X91</f>
        <v>0.00661945136330473</v>
      </c>
    </row>
    <row r="92" customFormat="false" ht="16.75" hidden="false" customHeight="false" outlineLevel="0" collapsed="false">
      <c r="B92" s="4"/>
      <c r="C92" s="5" t="n">
        <v>25</v>
      </c>
      <c r="D92" s="0" t="n">
        <v>884.8</v>
      </c>
      <c r="E92" s="0" t="n">
        <v>888.4</v>
      </c>
      <c r="F92" s="0" t="n">
        <v>887.6</v>
      </c>
      <c r="G92" s="0" t="n">
        <v>891.9</v>
      </c>
      <c r="H92" s="0" t="n">
        <v>904</v>
      </c>
      <c r="I92" s="0" t="n">
        <v>891.3</v>
      </c>
      <c r="J92" s="0" t="n">
        <v>895.3</v>
      </c>
      <c r="K92" s="0" t="n">
        <v>908.4</v>
      </c>
      <c r="L92" s="0" t="n">
        <v>894.5</v>
      </c>
      <c r="M92" s="0" t="n">
        <v>886.5</v>
      </c>
      <c r="N92" s="0" t="n">
        <v>896.4</v>
      </c>
      <c r="O92" s="0" t="n">
        <v>892.9</v>
      </c>
      <c r="P92" s="0" t="n">
        <v>893.4</v>
      </c>
      <c r="Q92" s="0" t="n">
        <v>875.9</v>
      </c>
      <c r="R92" s="0" t="n">
        <v>891.6</v>
      </c>
      <c r="S92" s="0" t="n">
        <v>894.2</v>
      </c>
      <c r="T92" s="0" t="n">
        <v>892.6</v>
      </c>
      <c r="U92" s="0" t="n">
        <v>894.2</v>
      </c>
      <c r="V92" s="0" t="n">
        <v>888.6</v>
      </c>
      <c r="W92" s="0" t="n">
        <v>892.3</v>
      </c>
      <c r="X92" s="6" t="n">
        <f aca="false">AVERAGE(D92:W92)</f>
        <v>892.24</v>
      </c>
      <c r="Y92" s="7" t="n">
        <f aca="false">_xlfn.STDEV.S(D92:W92)</f>
        <v>6.67693595028517</v>
      </c>
      <c r="Z92" s="7" t="n">
        <f aca="false">Y92/X92</f>
        <v>0.00748334074944541</v>
      </c>
    </row>
    <row r="93" customFormat="false" ht="16.75" hidden="false" customHeight="false" outlineLevel="0" collapsed="false">
      <c r="B93" s="4"/>
      <c r="C93" s="5" t="n">
        <v>38</v>
      </c>
      <c r="D93" s="0" t="n">
        <v>901.4</v>
      </c>
      <c r="E93" s="0" t="n">
        <v>900.4</v>
      </c>
      <c r="F93" s="0" t="n">
        <v>894.1</v>
      </c>
      <c r="G93" s="0" t="n">
        <v>883.9</v>
      </c>
      <c r="H93" s="0" t="n">
        <v>884.1</v>
      </c>
      <c r="I93" s="0" t="n">
        <v>889.8</v>
      </c>
      <c r="J93" s="0" t="n">
        <v>887.5</v>
      </c>
      <c r="K93" s="0" t="n">
        <v>883.7</v>
      </c>
      <c r="L93" s="0" t="n">
        <v>888</v>
      </c>
      <c r="M93" s="0" t="n">
        <v>882.5</v>
      </c>
      <c r="N93" s="0" t="n">
        <v>888.6</v>
      </c>
      <c r="O93" s="0" t="n">
        <v>891.3</v>
      </c>
      <c r="P93" s="0" t="n">
        <v>900.5</v>
      </c>
      <c r="Q93" s="0" t="n">
        <v>900.9</v>
      </c>
      <c r="R93" s="0" t="n">
        <v>885.4</v>
      </c>
      <c r="S93" s="0" t="n">
        <v>887.5</v>
      </c>
      <c r="T93" s="0" t="n">
        <v>888.6</v>
      </c>
      <c r="U93" s="0" t="n">
        <v>887.1</v>
      </c>
      <c r="V93" s="0" t="n">
        <v>901.2</v>
      </c>
      <c r="W93" s="0" t="n">
        <v>889.4</v>
      </c>
      <c r="X93" s="6" t="n">
        <f aca="false">AVERAGE(D93:W93)</f>
        <v>890.795</v>
      </c>
      <c r="Y93" s="7" t="n">
        <f aca="false">_xlfn.STDEV.S(D93:W93)</f>
        <v>6.5567542515935</v>
      </c>
      <c r="Z93" s="7" t="n">
        <f aca="false">Y93/X93</f>
        <v>0.00736056472206681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822.3</v>
      </c>
      <c r="E94" s="0" t="n">
        <v>821.4</v>
      </c>
      <c r="F94" s="0" t="n">
        <v>812.3</v>
      </c>
      <c r="G94" s="0" t="n">
        <v>847.2</v>
      </c>
      <c r="H94" s="0" t="n">
        <v>827.9</v>
      </c>
      <c r="I94" s="0" t="n">
        <v>828.4</v>
      </c>
      <c r="J94" s="0" t="n">
        <v>850.7</v>
      </c>
      <c r="K94" s="0" t="n">
        <v>819.7</v>
      </c>
      <c r="L94" s="0" t="n">
        <v>825.3</v>
      </c>
      <c r="M94" s="0" t="n">
        <v>825</v>
      </c>
      <c r="N94" s="0" t="n">
        <v>813.6</v>
      </c>
      <c r="O94" s="0" t="n">
        <v>856</v>
      </c>
      <c r="P94" s="0" t="n">
        <v>817</v>
      </c>
      <c r="Q94" s="0" t="n">
        <v>816.7</v>
      </c>
      <c r="R94" s="0" t="n">
        <v>834.4</v>
      </c>
      <c r="S94" s="0" t="n">
        <v>822.8</v>
      </c>
      <c r="T94" s="0" t="n">
        <v>852.9</v>
      </c>
      <c r="U94" s="0" t="n">
        <v>837.4</v>
      </c>
      <c r="V94" s="0" t="n">
        <v>828.8</v>
      </c>
      <c r="W94" s="0" t="n">
        <v>804.6</v>
      </c>
      <c r="X94" s="6" t="n">
        <f aca="false">AVERAGE(D94:W94)</f>
        <v>828.22</v>
      </c>
      <c r="Y94" s="7" t="n">
        <f aca="false">_xlfn.STDEV.S(D94:W94)</f>
        <v>14.2449843435284</v>
      </c>
      <c r="Z94" s="7" t="n">
        <f aca="false">Y94/X94</f>
        <v>0.0171995174513153</v>
      </c>
    </row>
    <row r="95" customFormat="false" ht="16.75" hidden="false" customHeight="false" outlineLevel="0" collapsed="false">
      <c r="B95" s="4"/>
      <c r="C95" s="5" t="n">
        <v>63</v>
      </c>
      <c r="D95" s="0" t="n">
        <v>870.8</v>
      </c>
      <c r="E95" s="0" t="n">
        <v>852.8</v>
      </c>
      <c r="F95" s="0" t="n">
        <v>851.9</v>
      </c>
      <c r="G95" s="0" t="n">
        <v>856</v>
      </c>
      <c r="H95" s="0" t="n">
        <v>859.8</v>
      </c>
      <c r="I95" s="0" t="n">
        <v>848.2</v>
      </c>
      <c r="J95" s="0" t="n">
        <v>855.3</v>
      </c>
      <c r="K95" s="0" t="n">
        <v>854.8</v>
      </c>
      <c r="L95" s="0" t="n">
        <v>844.7</v>
      </c>
      <c r="M95" s="0" t="n">
        <v>853.7</v>
      </c>
      <c r="N95" s="0" t="n">
        <v>865.5</v>
      </c>
      <c r="O95" s="0" t="n">
        <v>859.6</v>
      </c>
      <c r="P95" s="0" t="n">
        <v>856.4</v>
      </c>
      <c r="Q95" s="0" t="n">
        <v>844.8</v>
      </c>
      <c r="R95" s="0" t="n">
        <v>853.1</v>
      </c>
      <c r="S95" s="0" t="n">
        <v>856.5</v>
      </c>
      <c r="T95" s="0" t="n">
        <v>850.4</v>
      </c>
      <c r="U95" s="0" t="n">
        <v>869.4</v>
      </c>
      <c r="V95" s="0" t="n">
        <v>865.6</v>
      </c>
      <c r="W95" s="0" t="n">
        <v>861.4</v>
      </c>
      <c r="X95" s="6" t="n">
        <f aca="false">AVERAGE(D95:W95)</f>
        <v>856.535</v>
      </c>
      <c r="Y95" s="7" t="n">
        <f aca="false">_xlfn.STDEV.S(D95:W95)</f>
        <v>7.32790448972462</v>
      </c>
      <c r="Z95" s="7" t="n">
        <f aca="false">Y95/X95</f>
        <v>0.00855528903048284</v>
      </c>
    </row>
    <row r="96" customFormat="false" ht="16.75" hidden="false" customHeight="false" outlineLevel="0" collapsed="false">
      <c r="B96" s="4"/>
      <c r="C96" s="5" t="n">
        <v>93</v>
      </c>
      <c r="D96" s="0" t="n">
        <v>869</v>
      </c>
      <c r="E96" s="0" t="n">
        <v>870.8</v>
      </c>
      <c r="F96" s="0" t="n">
        <v>865.8</v>
      </c>
      <c r="G96" s="0" t="n">
        <v>862.3</v>
      </c>
      <c r="H96" s="0" t="n">
        <v>861.9</v>
      </c>
      <c r="I96" s="0" t="n">
        <v>865.1</v>
      </c>
      <c r="J96" s="0" t="n">
        <v>863</v>
      </c>
      <c r="K96" s="0" t="n">
        <v>872.2</v>
      </c>
      <c r="L96" s="0" t="n">
        <v>859.1</v>
      </c>
      <c r="M96" s="0" t="n">
        <v>862.8</v>
      </c>
      <c r="N96" s="0" t="n">
        <v>876.2</v>
      </c>
      <c r="O96" s="0" t="n">
        <v>869</v>
      </c>
      <c r="P96" s="0" t="n">
        <v>864.5</v>
      </c>
      <c r="Q96" s="0" t="n">
        <v>855.3</v>
      </c>
      <c r="R96" s="0" t="n">
        <v>860.7</v>
      </c>
      <c r="S96" s="0" t="n">
        <v>868.7</v>
      </c>
      <c r="T96" s="0" t="n">
        <v>863</v>
      </c>
      <c r="U96" s="0" t="n">
        <v>874.5</v>
      </c>
      <c r="V96" s="0" t="n">
        <v>869</v>
      </c>
      <c r="W96" s="0" t="n">
        <v>859.9</v>
      </c>
      <c r="X96" s="6" t="n">
        <f aca="false">AVERAGE(D96:W96)</f>
        <v>865.64</v>
      </c>
      <c r="Y96" s="7" t="n">
        <f aca="false">_xlfn.STDEV.S(D96:W96)</f>
        <v>5.42270082251699</v>
      </c>
      <c r="Z96" s="7" t="n">
        <f aca="false">Y96/X96</f>
        <v>0.00626438337243772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806.2</v>
      </c>
      <c r="E97" s="0" t="n">
        <v>778.4</v>
      </c>
      <c r="F97" s="0" t="n">
        <v>784.4</v>
      </c>
      <c r="G97" s="0" t="n">
        <v>772.5</v>
      </c>
      <c r="H97" s="0" t="n">
        <v>799.3</v>
      </c>
      <c r="I97" s="0" t="n">
        <v>814.6</v>
      </c>
      <c r="J97" s="0" t="n">
        <v>792.5</v>
      </c>
      <c r="K97" s="0" t="n">
        <v>762.7</v>
      </c>
      <c r="L97" s="0" t="n">
        <v>764.5</v>
      </c>
      <c r="M97" s="0" t="n">
        <v>804.3</v>
      </c>
      <c r="N97" s="0" t="n">
        <v>799.8</v>
      </c>
      <c r="O97" s="0" t="n">
        <v>788.6</v>
      </c>
      <c r="P97" s="0" t="n">
        <v>782.7</v>
      </c>
      <c r="Q97" s="0" t="n">
        <v>783.9</v>
      </c>
      <c r="R97" s="0" t="n">
        <v>797.6</v>
      </c>
      <c r="S97" s="0" t="n">
        <v>772.5</v>
      </c>
      <c r="T97" s="0" t="n">
        <v>806.5</v>
      </c>
      <c r="U97" s="0" t="n">
        <v>810.2</v>
      </c>
      <c r="V97" s="0" t="n">
        <v>793.4</v>
      </c>
      <c r="W97" s="0" t="n">
        <v>758.8</v>
      </c>
      <c r="X97" s="6" t="n">
        <f aca="false">AVERAGE(D97:W97)</f>
        <v>788.67</v>
      </c>
      <c r="Y97" s="7" t="n">
        <f aca="false">_xlfn.STDEV.S(D97:W97)</f>
        <v>16.5671869733678</v>
      </c>
      <c r="Z97" s="7" t="n">
        <f aca="false">Y97/X97</f>
        <v>0.0210064881044895</v>
      </c>
    </row>
    <row r="98" customFormat="false" ht="16.75" hidden="false" customHeight="false" outlineLevel="0" collapsed="false">
      <c r="B98" s="4"/>
      <c r="C98" s="5" t="n">
        <v>38</v>
      </c>
      <c r="D98" s="0" t="n">
        <v>821</v>
      </c>
      <c r="E98" s="0" t="n">
        <v>804.7</v>
      </c>
      <c r="F98" s="0" t="n">
        <v>797.6</v>
      </c>
      <c r="G98" s="0" t="n">
        <v>809.7</v>
      </c>
      <c r="H98" s="0" t="n">
        <v>801.2</v>
      </c>
      <c r="I98" s="0" t="n">
        <v>796.6</v>
      </c>
      <c r="J98" s="0" t="n">
        <v>798.2</v>
      </c>
      <c r="K98" s="0" t="n">
        <v>798.4</v>
      </c>
      <c r="L98" s="0" t="n">
        <v>811</v>
      </c>
      <c r="M98" s="0" t="n">
        <v>812.3</v>
      </c>
      <c r="N98" s="0" t="n">
        <v>805.1</v>
      </c>
      <c r="O98" s="0" t="n">
        <v>800.2</v>
      </c>
      <c r="P98" s="0" t="n">
        <v>786.9</v>
      </c>
      <c r="Q98" s="0" t="n">
        <v>773.1</v>
      </c>
      <c r="R98" s="0" t="n">
        <v>782.1</v>
      </c>
      <c r="S98" s="0" t="n">
        <v>804.4</v>
      </c>
      <c r="T98" s="0" t="n">
        <v>807.9</v>
      </c>
      <c r="U98" s="0" t="n">
        <v>783</v>
      </c>
      <c r="V98" s="0" t="n">
        <v>783.8</v>
      </c>
      <c r="W98" s="0" t="n">
        <v>802.9</v>
      </c>
      <c r="X98" s="6" t="n">
        <f aca="false">AVERAGE(D98:W98)</f>
        <v>799.005</v>
      </c>
      <c r="Y98" s="7" t="n">
        <f aca="false">_xlfn.STDEV.S(D98:W98)</f>
        <v>11.9594259235572</v>
      </c>
      <c r="Z98" s="7" t="n">
        <f aca="false">Y98/X98</f>
        <v>0.0149678987284901</v>
      </c>
    </row>
    <row r="99" customFormat="false" ht="16.75" hidden="false" customHeight="false" outlineLevel="0" collapsed="false">
      <c r="B99" s="4"/>
      <c r="C99" s="5" t="n">
        <v>50</v>
      </c>
      <c r="D99" s="0" t="n">
        <v>799.4</v>
      </c>
      <c r="E99" s="0" t="n">
        <v>813.8</v>
      </c>
      <c r="F99" s="0" t="n">
        <v>786.9</v>
      </c>
      <c r="G99" s="0" t="n">
        <v>787.5</v>
      </c>
      <c r="H99" s="0" t="n">
        <v>800.3</v>
      </c>
      <c r="I99" s="0" t="n">
        <v>796.7</v>
      </c>
      <c r="J99" s="0" t="n">
        <v>803.8</v>
      </c>
      <c r="K99" s="0" t="n">
        <v>810.5</v>
      </c>
      <c r="L99" s="0" t="n">
        <v>812.2</v>
      </c>
      <c r="M99" s="0" t="n">
        <v>810.7</v>
      </c>
      <c r="N99" s="0" t="n">
        <v>795.8</v>
      </c>
      <c r="O99" s="0" t="n">
        <v>780.7</v>
      </c>
      <c r="P99" s="0" t="n">
        <v>801.2</v>
      </c>
      <c r="Q99" s="0" t="n">
        <v>785.9</v>
      </c>
      <c r="R99" s="0" t="n">
        <v>800</v>
      </c>
      <c r="S99" s="0" t="n">
        <v>830.5</v>
      </c>
      <c r="T99" s="0" t="n">
        <v>786.8</v>
      </c>
      <c r="U99" s="0" t="n">
        <v>802.9</v>
      </c>
      <c r="V99" s="0" t="n">
        <v>782.9</v>
      </c>
      <c r="W99" s="0" t="n">
        <v>802.8</v>
      </c>
      <c r="X99" s="6" t="n">
        <f aca="false">AVERAGE(D99:W99)</f>
        <v>799.565</v>
      </c>
      <c r="Y99" s="7" t="n">
        <f aca="false">_xlfn.STDEV.S(D99:W99)</f>
        <v>12.3914348602063</v>
      </c>
      <c r="Z99" s="7" t="n">
        <f aca="false">Y99/X99</f>
        <v>0.0154977204607585</v>
      </c>
    </row>
    <row r="100" customFormat="false" ht="16.75" hidden="false" customHeight="false" outlineLevel="0" collapsed="false">
      <c r="B100" s="4"/>
      <c r="C100" s="5" t="n">
        <v>75</v>
      </c>
      <c r="D100" s="0" t="n">
        <v>821.8</v>
      </c>
      <c r="E100" s="0" t="n">
        <v>780.9</v>
      </c>
      <c r="F100" s="0" t="n">
        <v>821.3</v>
      </c>
      <c r="G100" s="0" t="n">
        <v>790.3</v>
      </c>
      <c r="H100" s="0" t="n">
        <v>783.4</v>
      </c>
      <c r="I100" s="0" t="n">
        <v>780.9</v>
      </c>
      <c r="J100" s="0" t="n">
        <v>823.6</v>
      </c>
      <c r="K100" s="0" t="n">
        <v>812.1</v>
      </c>
      <c r="L100" s="0" t="n">
        <v>797.9</v>
      </c>
      <c r="M100" s="0" t="n">
        <v>812.1</v>
      </c>
      <c r="N100" s="0" t="n">
        <v>797.3</v>
      </c>
      <c r="O100" s="0" t="n">
        <v>787.7</v>
      </c>
      <c r="P100" s="0" t="n">
        <v>813.2</v>
      </c>
      <c r="Q100" s="0" t="n">
        <v>788.7</v>
      </c>
      <c r="R100" s="0" t="n">
        <v>809.2</v>
      </c>
      <c r="S100" s="0" t="n">
        <v>788.8</v>
      </c>
      <c r="T100" s="0" t="n">
        <v>800.5</v>
      </c>
      <c r="U100" s="0" t="n">
        <v>807.9</v>
      </c>
      <c r="V100" s="0" t="n">
        <v>808.5</v>
      </c>
      <c r="W100" s="0" t="n">
        <v>782.5</v>
      </c>
      <c r="X100" s="6" t="n">
        <f aca="false">AVERAGE(D100:W100)</f>
        <v>800.43</v>
      </c>
      <c r="Y100" s="7" t="n">
        <f aca="false">_xlfn.STDEV.S(D100:W100)</f>
        <v>14.492179379165</v>
      </c>
      <c r="Z100" s="7" t="n">
        <f aca="false">Y100/X100</f>
        <v>0.0181054925217258</v>
      </c>
    </row>
    <row r="101" customFormat="false" ht="16.75" hidden="false" customHeight="false" outlineLevel="0" collapsed="false">
      <c r="B101" s="4"/>
      <c r="C101" s="5" t="n">
        <v>100</v>
      </c>
      <c r="D101" s="0" t="n">
        <v>822.2</v>
      </c>
      <c r="E101" s="0" t="n">
        <v>798.4</v>
      </c>
      <c r="F101" s="0" t="n">
        <v>821.6</v>
      </c>
      <c r="G101" s="0" t="n">
        <v>810.8</v>
      </c>
      <c r="H101" s="0" t="n">
        <v>801.5</v>
      </c>
      <c r="I101" s="0" t="n">
        <v>798.8</v>
      </c>
      <c r="J101" s="0" t="n">
        <v>823.5</v>
      </c>
      <c r="K101" s="0" t="n">
        <v>812.4</v>
      </c>
      <c r="L101" s="0" t="n">
        <v>787.1</v>
      </c>
      <c r="M101" s="0" t="n">
        <v>820.1</v>
      </c>
      <c r="N101" s="0" t="n">
        <v>790.6</v>
      </c>
      <c r="O101" s="0" t="n">
        <v>784.2</v>
      </c>
      <c r="P101" s="0" t="n">
        <v>818.8</v>
      </c>
      <c r="Q101" s="0" t="n">
        <v>810.8</v>
      </c>
      <c r="R101" s="0" t="n">
        <v>788</v>
      </c>
      <c r="S101" s="0" t="n">
        <v>816.6</v>
      </c>
      <c r="T101" s="0" t="n">
        <v>792.1</v>
      </c>
      <c r="U101" s="0" t="n">
        <v>797.1</v>
      </c>
      <c r="V101" s="0" t="n">
        <v>810.2</v>
      </c>
      <c r="W101" s="0" t="n">
        <v>792.8</v>
      </c>
      <c r="X101" s="6" t="n">
        <f aca="false">AVERAGE(D101:W101)</f>
        <v>804.88</v>
      </c>
      <c r="Y101" s="7" t="n">
        <f aca="false">_xlfn.STDEV.S(D101:W101)</f>
        <v>13.2521537474996</v>
      </c>
      <c r="Z101" s="7" t="n">
        <f aca="false">Y101/X101</f>
        <v>0.016464757165664</v>
      </c>
    </row>
    <row r="102" customFormat="false" ht="16.75" hidden="false" customHeight="false" outlineLevel="0" collapsed="false">
      <c r="B102" s="4"/>
      <c r="C102" s="5" t="n">
        <v>150</v>
      </c>
      <c r="D102" s="0" t="n">
        <v>836</v>
      </c>
      <c r="E102" s="0" t="n">
        <v>849.1</v>
      </c>
      <c r="F102" s="0" t="n">
        <v>833.4</v>
      </c>
      <c r="G102" s="0" t="n">
        <v>836.4</v>
      </c>
      <c r="H102" s="0" t="n">
        <v>831.3</v>
      </c>
      <c r="I102" s="0" t="n">
        <v>817.4</v>
      </c>
      <c r="J102" s="0" t="n">
        <v>829.1</v>
      </c>
      <c r="K102" s="0" t="n">
        <v>830.7</v>
      </c>
      <c r="L102" s="0" t="n">
        <v>843.1</v>
      </c>
      <c r="M102" s="0" t="n">
        <v>821.3</v>
      </c>
      <c r="N102" s="0" t="n">
        <v>834.9</v>
      </c>
      <c r="O102" s="0" t="n">
        <v>829.3</v>
      </c>
      <c r="P102" s="0" t="n">
        <v>820.6</v>
      </c>
      <c r="Q102" s="0" t="n">
        <v>818.6</v>
      </c>
      <c r="R102" s="0" t="n">
        <v>816.5</v>
      </c>
      <c r="S102" s="0" t="n">
        <v>809.8</v>
      </c>
      <c r="T102" s="0" t="n">
        <v>813.2</v>
      </c>
      <c r="U102" s="0" t="n">
        <v>839.5</v>
      </c>
      <c r="V102" s="0" t="n">
        <v>814.3</v>
      </c>
      <c r="W102" s="0" t="n">
        <v>843.7</v>
      </c>
      <c r="X102" s="6" t="n">
        <f aca="false">AVERAGE(D102:W102)</f>
        <v>828.41</v>
      </c>
      <c r="Y102" s="7" t="n">
        <f aca="false">_xlfn.STDEV.S(D102:W102)</f>
        <v>11.3592021587879</v>
      </c>
      <c r="Z102" s="7" t="n">
        <f aca="false">Y102/X102</f>
        <v>0.0137120534020447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Y91" activeCellId="0" sqref="Y9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34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396</v>
      </c>
      <c r="E6" s="0" t="n">
        <v>396.6</v>
      </c>
      <c r="F6" s="0" t="n">
        <v>401.2</v>
      </c>
      <c r="G6" s="0" t="n">
        <v>395.1</v>
      </c>
      <c r="H6" s="0" t="n">
        <v>399.3</v>
      </c>
      <c r="I6" s="0" t="n">
        <v>392.4</v>
      </c>
      <c r="J6" s="0" t="n">
        <v>395.8</v>
      </c>
      <c r="K6" s="0" t="n">
        <v>407.7</v>
      </c>
      <c r="L6" s="0" t="n">
        <v>394.7</v>
      </c>
      <c r="M6" s="0" t="n">
        <v>402.1</v>
      </c>
      <c r="N6" s="0" t="n">
        <v>396.4</v>
      </c>
      <c r="O6" s="0" t="n">
        <v>398.9</v>
      </c>
      <c r="P6" s="0" t="n">
        <v>395.1</v>
      </c>
      <c r="Q6" s="0" t="n">
        <v>397.8</v>
      </c>
      <c r="R6" s="0" t="n">
        <v>400.7</v>
      </c>
      <c r="S6" s="0" t="n">
        <v>390.9</v>
      </c>
      <c r="T6" s="0" t="n">
        <v>403.3</v>
      </c>
      <c r="U6" s="0" t="n">
        <v>395.6</v>
      </c>
      <c r="V6" s="0" t="n">
        <v>399.8</v>
      </c>
      <c r="W6" s="0" t="n">
        <v>396.9</v>
      </c>
      <c r="X6" s="6" t="n">
        <f aca="false">AVERAGE(D6:W6)</f>
        <v>397.815</v>
      </c>
      <c r="Y6" s="7" t="n">
        <f aca="false">_xlfn.STDEV.P(D6:W6)</f>
        <v>3.81723394619717</v>
      </c>
      <c r="Z6" s="7" t="n">
        <f aca="false">Y6/X6</f>
        <v>0.00959550028580413</v>
      </c>
    </row>
    <row r="7" customFormat="false" ht="16.75" hidden="false" customHeight="false" outlineLevel="0" collapsed="false">
      <c r="B7" s="4"/>
      <c r="C7" s="5" t="n">
        <v>25</v>
      </c>
      <c r="D7" s="0" t="n">
        <v>398.2</v>
      </c>
      <c r="E7" s="0" t="n">
        <v>397</v>
      </c>
      <c r="F7" s="0" t="n">
        <v>403.1</v>
      </c>
      <c r="G7" s="0" t="n">
        <v>399</v>
      </c>
      <c r="H7" s="0" t="n">
        <v>402.9</v>
      </c>
      <c r="I7" s="0" t="n">
        <v>398.3</v>
      </c>
      <c r="J7" s="0" t="n">
        <v>402.9</v>
      </c>
      <c r="K7" s="0" t="n">
        <v>399.8</v>
      </c>
      <c r="L7" s="0" t="n">
        <v>399</v>
      </c>
      <c r="M7" s="0" t="n">
        <v>398.9</v>
      </c>
      <c r="N7" s="0" t="n">
        <v>403.3</v>
      </c>
      <c r="O7" s="0" t="n">
        <v>399.5</v>
      </c>
      <c r="P7" s="0" t="n">
        <v>402</v>
      </c>
      <c r="Q7" s="0" t="n">
        <v>400.9</v>
      </c>
      <c r="R7" s="0" t="n">
        <v>398.9</v>
      </c>
      <c r="S7" s="0" t="n">
        <v>404.5</v>
      </c>
      <c r="T7" s="0" t="n">
        <v>398.9</v>
      </c>
      <c r="U7" s="0" t="n">
        <v>402.9</v>
      </c>
      <c r="V7" s="0" t="n">
        <v>398.8</v>
      </c>
      <c r="W7" s="0" t="n">
        <v>400.2</v>
      </c>
      <c r="X7" s="6" t="n">
        <f aca="false">AVERAGE(D7:W7)</f>
        <v>400.45</v>
      </c>
      <c r="Y7" s="7" t="n">
        <f aca="false">_xlfn.STDEV.P(D7:W7)</f>
        <v>2.11269969470344</v>
      </c>
      <c r="Z7" s="7" t="n">
        <f aca="false">Y7/X7</f>
        <v>0.00527581394606927</v>
      </c>
    </row>
    <row r="8" customFormat="false" ht="16.75" hidden="false" customHeight="false" outlineLevel="0" collapsed="false">
      <c r="B8" s="4"/>
      <c r="C8" s="5" t="n">
        <v>38</v>
      </c>
      <c r="D8" s="0" t="n">
        <v>400.3</v>
      </c>
      <c r="E8" s="0" t="n">
        <v>395</v>
      </c>
      <c r="F8" s="0" t="n">
        <v>398.6</v>
      </c>
      <c r="G8" s="0" t="n">
        <v>403.2</v>
      </c>
      <c r="H8" s="0" t="n">
        <v>399.6</v>
      </c>
      <c r="I8" s="0" t="n">
        <v>391.6</v>
      </c>
      <c r="J8" s="0" t="n">
        <v>400.4</v>
      </c>
      <c r="K8" s="0" t="n">
        <v>396.5</v>
      </c>
      <c r="L8" s="0" t="n">
        <v>406.2</v>
      </c>
      <c r="M8" s="0" t="n">
        <v>399.9</v>
      </c>
      <c r="N8" s="0" t="n">
        <v>397.6</v>
      </c>
      <c r="O8" s="0" t="n">
        <v>393.8</v>
      </c>
      <c r="P8" s="0" t="n">
        <v>395.1</v>
      </c>
      <c r="Q8" s="0" t="n">
        <v>395.5</v>
      </c>
      <c r="R8" s="0" t="n">
        <v>398.2</v>
      </c>
      <c r="S8" s="0" t="n">
        <v>396.4</v>
      </c>
      <c r="T8" s="0" t="n">
        <v>401.1</v>
      </c>
      <c r="U8" s="0" t="n">
        <v>393.4</v>
      </c>
      <c r="V8" s="0" t="n">
        <v>400.4</v>
      </c>
      <c r="W8" s="0" t="n">
        <v>399.1</v>
      </c>
      <c r="X8" s="6" t="n">
        <f aca="false">AVERAGE(D8:W8)</f>
        <v>398.095</v>
      </c>
      <c r="Y8" s="7" t="n">
        <f aca="false">_xlfn.STDEV.P(D8:W8)</f>
        <v>3.44012717788165</v>
      </c>
      <c r="Z8" s="7" t="n">
        <f aca="false">Y8/X8</f>
        <v>0.00864147295967458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433.7</v>
      </c>
      <c r="E9" s="0" t="n">
        <v>452.7</v>
      </c>
      <c r="F9" s="0" t="n">
        <v>437.5</v>
      </c>
      <c r="G9" s="0" t="n">
        <v>439.1</v>
      </c>
      <c r="H9" s="0" t="n">
        <v>449.3</v>
      </c>
      <c r="I9" s="0" t="n">
        <v>444.3</v>
      </c>
      <c r="J9" s="0" t="n">
        <v>446.2</v>
      </c>
      <c r="K9" s="0" t="n">
        <v>440</v>
      </c>
      <c r="L9" s="0" t="n">
        <v>444.3</v>
      </c>
      <c r="M9" s="0" t="n">
        <v>437.1</v>
      </c>
      <c r="N9" s="0" t="n">
        <v>440</v>
      </c>
      <c r="O9" s="0" t="n">
        <v>446.7</v>
      </c>
      <c r="P9" s="0" t="n">
        <v>431.3</v>
      </c>
      <c r="Q9" s="0" t="n">
        <v>437.2</v>
      </c>
      <c r="R9" s="0" t="n">
        <v>434.9</v>
      </c>
      <c r="S9" s="0" t="n">
        <v>439.6</v>
      </c>
      <c r="T9" s="0" t="n">
        <v>434.8</v>
      </c>
      <c r="U9" s="0" t="n">
        <v>436.5</v>
      </c>
      <c r="V9" s="0" t="n">
        <v>432.7</v>
      </c>
      <c r="W9" s="0" t="n">
        <v>430.6</v>
      </c>
      <c r="X9" s="6" t="n">
        <f aca="false">AVERAGE(D9:W9)</f>
        <v>439.425</v>
      </c>
      <c r="Y9" s="7" t="n">
        <f aca="false">_xlfn.STDEV.P(D9:W9)</f>
        <v>5.9467533158859</v>
      </c>
      <c r="Z9" s="7" t="n">
        <f aca="false">Y9/X9</f>
        <v>0.0135330336596368</v>
      </c>
    </row>
    <row r="10" customFormat="false" ht="16.75" hidden="false" customHeight="false" outlineLevel="0" collapsed="false">
      <c r="B10" s="4"/>
      <c r="C10" s="5" t="n">
        <v>63</v>
      </c>
      <c r="D10" s="0" t="n">
        <v>446.9</v>
      </c>
      <c r="E10" s="0" t="n">
        <v>443.6</v>
      </c>
      <c r="F10" s="0" t="n">
        <v>432.3</v>
      </c>
      <c r="G10" s="0" t="n">
        <v>445.1</v>
      </c>
      <c r="H10" s="0" t="n">
        <v>442.4</v>
      </c>
      <c r="I10" s="0" t="n">
        <v>444.7</v>
      </c>
      <c r="J10" s="0" t="n">
        <v>446.6</v>
      </c>
      <c r="K10" s="0" t="n">
        <v>441.9</v>
      </c>
      <c r="L10" s="0" t="n">
        <v>440.9</v>
      </c>
      <c r="M10" s="0" t="n">
        <v>450.2</v>
      </c>
      <c r="N10" s="0" t="n">
        <v>449</v>
      </c>
      <c r="O10" s="0" t="n">
        <v>440</v>
      </c>
      <c r="P10" s="0" t="n">
        <v>440</v>
      </c>
      <c r="Q10" s="0" t="n">
        <v>439.1</v>
      </c>
      <c r="R10" s="0" t="n">
        <v>445.3</v>
      </c>
      <c r="S10" s="0" t="n">
        <v>451.9</v>
      </c>
      <c r="T10" s="0" t="n">
        <v>446.4</v>
      </c>
      <c r="U10" s="0" t="n">
        <v>443.4</v>
      </c>
      <c r="V10" s="0" t="n">
        <v>438.9</v>
      </c>
      <c r="W10" s="0" t="n">
        <v>441.8</v>
      </c>
      <c r="X10" s="6" t="n">
        <f aca="false">AVERAGE(D10:W10)</f>
        <v>443.52</v>
      </c>
      <c r="Y10" s="7" t="n">
        <f aca="false">_xlfn.STDEV.P(D10:W10)</f>
        <v>4.39552044700056</v>
      </c>
      <c r="Z10" s="7" t="n">
        <f aca="false">Y10/X10</f>
        <v>0.00991053491838149</v>
      </c>
    </row>
    <row r="11" customFormat="false" ht="16.75" hidden="false" customHeight="false" outlineLevel="0" collapsed="false">
      <c r="B11" s="4"/>
      <c r="C11" s="5" t="n">
        <v>93</v>
      </c>
      <c r="D11" s="0" t="n">
        <v>428.7</v>
      </c>
      <c r="E11" s="0" t="n">
        <v>430.7</v>
      </c>
      <c r="F11" s="0" t="n">
        <v>432.4</v>
      </c>
      <c r="G11" s="0" t="n">
        <v>422</v>
      </c>
      <c r="H11" s="0" t="n">
        <v>423.4</v>
      </c>
      <c r="I11" s="0" t="n">
        <v>424.6</v>
      </c>
      <c r="J11" s="0" t="n">
        <v>398.8</v>
      </c>
      <c r="K11" s="0" t="n">
        <v>405.4</v>
      </c>
      <c r="L11" s="0" t="n">
        <v>422.4</v>
      </c>
      <c r="M11" s="0" t="n">
        <v>415.6</v>
      </c>
      <c r="N11" s="0" t="n">
        <v>413.4</v>
      </c>
      <c r="O11" s="0" t="n">
        <v>416.8</v>
      </c>
      <c r="P11" s="0" t="n">
        <v>404.3</v>
      </c>
      <c r="Q11" s="0" t="n">
        <v>426.4</v>
      </c>
      <c r="R11" s="0" t="n">
        <v>424.8</v>
      </c>
      <c r="S11" s="0" t="n">
        <v>415.9</v>
      </c>
      <c r="T11" s="0" t="n">
        <v>422</v>
      </c>
      <c r="U11" s="0" t="n">
        <v>406.8</v>
      </c>
      <c r="V11" s="0" t="n">
        <v>418.6</v>
      </c>
      <c r="W11" s="0" t="n">
        <v>431.2</v>
      </c>
      <c r="X11" s="6" t="n">
        <f aca="false">AVERAGE(D11:W11)</f>
        <v>419.21</v>
      </c>
      <c r="Y11" s="7" t="n">
        <f aca="false">_xlfn.STDEV.P(D11:W11)</f>
        <v>9.33444695737246</v>
      </c>
      <c r="Z11" s="7" t="n">
        <f aca="false">Y11/X11</f>
        <v>0.0222667564165274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349.6</v>
      </c>
      <c r="E12" s="0" t="n">
        <v>350.4</v>
      </c>
      <c r="F12" s="0" t="n">
        <v>317.7</v>
      </c>
      <c r="G12" s="0" t="n">
        <v>351.8</v>
      </c>
      <c r="H12" s="0" t="n">
        <v>319.7</v>
      </c>
      <c r="I12" s="0" t="n">
        <v>317.9</v>
      </c>
      <c r="J12" s="0" t="n">
        <v>324.7</v>
      </c>
      <c r="K12" s="0" t="n">
        <v>322.7</v>
      </c>
      <c r="L12" s="0" t="n">
        <v>340.4</v>
      </c>
      <c r="M12" s="0" t="n">
        <v>352</v>
      </c>
      <c r="N12" s="0" t="n">
        <v>342.2</v>
      </c>
      <c r="O12" s="0" t="n">
        <v>350.3</v>
      </c>
      <c r="P12" s="0" t="n">
        <v>354.9</v>
      </c>
      <c r="Q12" s="0" t="n">
        <v>330.7</v>
      </c>
      <c r="R12" s="0" t="n">
        <v>328.3</v>
      </c>
      <c r="S12" s="0" t="n">
        <v>329.1</v>
      </c>
      <c r="T12" s="0" t="n">
        <v>333.6</v>
      </c>
      <c r="U12" s="0" t="n">
        <v>335.9</v>
      </c>
      <c r="V12" s="0" t="n">
        <v>332.4</v>
      </c>
      <c r="W12" s="0" t="n">
        <v>345.9</v>
      </c>
      <c r="X12" s="6" t="n">
        <f aca="false">AVERAGE(D12:W12)</f>
        <v>336.51</v>
      </c>
      <c r="Y12" s="7" t="n">
        <f aca="false">_xlfn.STDEV.P(D12:W12)</f>
        <v>12.2408292202775</v>
      </c>
      <c r="Z12" s="7" t="n">
        <f aca="false">Y12/X12</f>
        <v>0.0363758260386839</v>
      </c>
    </row>
    <row r="13" customFormat="false" ht="16.75" hidden="false" customHeight="false" outlineLevel="0" collapsed="false">
      <c r="B13" s="4"/>
      <c r="C13" s="5" t="n">
        <v>38</v>
      </c>
      <c r="D13" s="0" t="n">
        <v>342</v>
      </c>
      <c r="E13" s="0" t="n">
        <v>334.5</v>
      </c>
      <c r="F13" s="0" t="n">
        <v>339.3</v>
      </c>
      <c r="G13" s="0" t="n">
        <v>352.6</v>
      </c>
      <c r="H13" s="0" t="n">
        <v>347.3</v>
      </c>
      <c r="I13" s="0" t="n">
        <v>351.7</v>
      </c>
      <c r="J13" s="0" t="n">
        <v>342.3</v>
      </c>
      <c r="K13" s="0" t="n">
        <v>349.8</v>
      </c>
      <c r="L13" s="0" t="n">
        <v>332.7</v>
      </c>
      <c r="M13" s="0" t="n">
        <v>343.9</v>
      </c>
      <c r="N13" s="0" t="n">
        <v>344.4</v>
      </c>
      <c r="O13" s="0" t="n">
        <v>329.8</v>
      </c>
      <c r="P13" s="0" t="n">
        <v>352.9</v>
      </c>
      <c r="Q13" s="0" t="n">
        <v>326.6</v>
      </c>
      <c r="R13" s="0" t="n">
        <v>346.3</v>
      </c>
      <c r="S13" s="0" t="n">
        <v>349.3</v>
      </c>
      <c r="T13" s="0" t="n">
        <v>363.6</v>
      </c>
      <c r="U13" s="0" t="n">
        <v>365.2</v>
      </c>
      <c r="V13" s="0" t="n">
        <v>337.1</v>
      </c>
      <c r="W13" s="0" t="n">
        <v>352.9</v>
      </c>
      <c r="X13" s="6" t="n">
        <f aca="false">AVERAGE(D13:W13)</f>
        <v>345.21</v>
      </c>
      <c r="Y13" s="7" t="n">
        <f aca="false">_xlfn.STDEV.P(D13:W13)</f>
        <v>9.93226560257024</v>
      </c>
      <c r="Z13" s="7" t="n">
        <f aca="false">Y13/X13</f>
        <v>0.0287716624737703</v>
      </c>
    </row>
    <row r="14" customFormat="false" ht="16.75" hidden="false" customHeight="false" outlineLevel="0" collapsed="false">
      <c r="B14" s="4"/>
      <c r="C14" s="5" t="n">
        <v>50</v>
      </c>
      <c r="D14" s="0" t="n">
        <v>338</v>
      </c>
      <c r="E14" s="0" t="n">
        <v>319.8</v>
      </c>
      <c r="F14" s="0" t="n">
        <v>336</v>
      </c>
      <c r="G14" s="0" t="n">
        <v>317.2</v>
      </c>
      <c r="H14" s="0" t="n">
        <v>306.1</v>
      </c>
      <c r="I14" s="0" t="n">
        <v>318.8</v>
      </c>
      <c r="J14" s="0" t="n">
        <v>341.2</v>
      </c>
      <c r="K14" s="0" t="n">
        <v>320.5</v>
      </c>
      <c r="L14" s="0" t="n">
        <v>332</v>
      </c>
      <c r="M14" s="0" t="n">
        <v>351.7</v>
      </c>
      <c r="N14" s="0" t="n">
        <v>346.5</v>
      </c>
      <c r="O14" s="0" t="n">
        <v>334.9</v>
      </c>
      <c r="P14" s="0" t="n">
        <v>345.8</v>
      </c>
      <c r="Q14" s="0" t="n">
        <v>337.9</v>
      </c>
      <c r="R14" s="0" t="n">
        <v>309.2</v>
      </c>
      <c r="S14" s="0" t="n">
        <v>312.8</v>
      </c>
      <c r="T14" s="0" t="n">
        <v>341.6</v>
      </c>
      <c r="U14" s="0" t="n">
        <v>328</v>
      </c>
      <c r="V14" s="0" t="n">
        <v>342.4</v>
      </c>
      <c r="W14" s="0" t="n">
        <v>342.4</v>
      </c>
      <c r="X14" s="6" t="n">
        <f aca="false">AVERAGE(D14:W14)</f>
        <v>331.14</v>
      </c>
      <c r="Y14" s="7" t="n">
        <f aca="false">_xlfn.STDEV.P(D14:W14)</f>
        <v>13.2513923796709</v>
      </c>
      <c r="Z14" s="7" t="n">
        <f aca="false">Y14/X14</f>
        <v>0.0400174922379383</v>
      </c>
    </row>
    <row r="15" customFormat="false" ht="16.75" hidden="false" customHeight="false" outlineLevel="0" collapsed="false">
      <c r="B15" s="4"/>
      <c r="C15" s="5" t="n">
        <v>75</v>
      </c>
      <c r="D15" s="0" t="n">
        <v>334.3</v>
      </c>
      <c r="E15" s="0" t="n">
        <v>326.4</v>
      </c>
      <c r="F15" s="0" t="n">
        <v>330.7</v>
      </c>
      <c r="G15" s="0" t="n">
        <v>325.4</v>
      </c>
      <c r="H15" s="0" t="n">
        <v>317.5</v>
      </c>
      <c r="I15" s="0" t="n">
        <v>327.2</v>
      </c>
      <c r="J15" s="0" t="n">
        <v>346.6</v>
      </c>
      <c r="K15" s="0" t="n">
        <v>345.3</v>
      </c>
      <c r="L15" s="0" t="n">
        <v>333.9</v>
      </c>
      <c r="M15" s="0" t="n">
        <v>327.6</v>
      </c>
      <c r="N15" s="0" t="n">
        <v>351.1</v>
      </c>
      <c r="O15" s="0" t="n">
        <v>347.1</v>
      </c>
      <c r="P15" s="0" t="n">
        <v>352.3</v>
      </c>
      <c r="Q15" s="0" t="n">
        <v>325.3</v>
      </c>
      <c r="R15" s="0" t="n">
        <v>332.4</v>
      </c>
      <c r="S15" s="0" t="n">
        <v>344.7</v>
      </c>
      <c r="T15" s="0" t="n">
        <v>336</v>
      </c>
      <c r="U15" s="0" t="n">
        <v>329.8</v>
      </c>
      <c r="V15" s="0" t="n">
        <v>317.9</v>
      </c>
      <c r="W15" s="0" t="n">
        <v>310.5</v>
      </c>
      <c r="X15" s="6" t="n">
        <f aca="false">AVERAGE(D15:W15)</f>
        <v>333.1</v>
      </c>
      <c r="Y15" s="7" t="n">
        <f aca="false">_xlfn.STDEV.P(D15:W15)</f>
        <v>11.3955254376444</v>
      </c>
      <c r="Z15" s="7" t="n">
        <f aca="false">Y15/X15</f>
        <v>0.0342105236795088</v>
      </c>
    </row>
    <row r="16" customFormat="false" ht="16.75" hidden="false" customHeight="false" outlineLevel="0" collapsed="false">
      <c r="B16" s="4"/>
      <c r="C16" s="5" t="n">
        <v>100</v>
      </c>
      <c r="D16" s="0" t="n">
        <v>343.9</v>
      </c>
      <c r="E16" s="0" t="n">
        <v>347.3</v>
      </c>
      <c r="F16" s="0" t="n">
        <v>353.8</v>
      </c>
      <c r="G16" s="0" t="n">
        <v>342</v>
      </c>
      <c r="H16" s="0" t="n">
        <v>339.5</v>
      </c>
      <c r="I16" s="0" t="n">
        <v>336.8</v>
      </c>
      <c r="J16" s="0" t="n">
        <v>325.3</v>
      </c>
      <c r="K16" s="0" t="n">
        <v>359.2</v>
      </c>
      <c r="L16" s="0" t="n">
        <v>334.2</v>
      </c>
      <c r="M16" s="0" t="n">
        <v>315.1</v>
      </c>
      <c r="N16" s="0" t="n">
        <v>361.3</v>
      </c>
      <c r="O16" s="0" t="n">
        <v>352</v>
      </c>
      <c r="P16" s="0" t="n">
        <v>357.9</v>
      </c>
      <c r="Q16" s="0" t="n">
        <v>338</v>
      </c>
      <c r="R16" s="0" t="n">
        <v>354.9</v>
      </c>
      <c r="S16" s="0" t="n">
        <v>332.7</v>
      </c>
      <c r="T16" s="0" t="n">
        <v>350.8</v>
      </c>
      <c r="U16" s="0" t="n">
        <v>363.5</v>
      </c>
      <c r="V16" s="0" t="n">
        <v>365.5</v>
      </c>
      <c r="W16" s="0" t="n">
        <v>361.9</v>
      </c>
      <c r="X16" s="6" t="n">
        <f aca="false">AVERAGE(D16:W16)</f>
        <v>346.78</v>
      </c>
      <c r="Y16" s="7" t="n">
        <f aca="false">_xlfn.STDEV.P(D16:W16)</f>
        <v>13.3951334446507</v>
      </c>
      <c r="Z16" s="7" t="n">
        <f aca="false">Y16/X16</f>
        <v>0.0386271798969107</v>
      </c>
    </row>
    <row r="17" customFormat="false" ht="16.75" hidden="false" customHeight="false" outlineLevel="0" collapsed="false">
      <c r="B17" s="4"/>
      <c r="C17" s="5" t="n">
        <v>150</v>
      </c>
      <c r="D17" s="0" t="n">
        <v>369.7</v>
      </c>
      <c r="E17" s="0" t="n">
        <v>364</v>
      </c>
      <c r="F17" s="0" t="n">
        <v>355.8</v>
      </c>
      <c r="G17" s="0" t="n">
        <v>358.2</v>
      </c>
      <c r="H17" s="0" t="n">
        <v>331</v>
      </c>
      <c r="I17" s="0" t="n">
        <v>350.6</v>
      </c>
      <c r="J17" s="0" t="n">
        <v>353.2</v>
      </c>
      <c r="K17" s="0" t="n">
        <v>355.7</v>
      </c>
      <c r="L17" s="0" t="n">
        <v>343.9</v>
      </c>
      <c r="M17" s="0" t="n">
        <v>353.9</v>
      </c>
      <c r="N17" s="0" t="n">
        <v>341.2</v>
      </c>
      <c r="O17" s="0" t="n">
        <v>350.2</v>
      </c>
      <c r="P17" s="0" t="n">
        <v>340.4</v>
      </c>
      <c r="Q17" s="0" t="n">
        <v>375.6</v>
      </c>
      <c r="R17" s="0" t="n">
        <v>364.8</v>
      </c>
      <c r="S17" s="0" t="n">
        <v>324.4</v>
      </c>
      <c r="T17" s="0" t="n">
        <v>362.5</v>
      </c>
      <c r="U17" s="0" t="n">
        <v>349.2</v>
      </c>
      <c r="V17" s="0" t="n">
        <v>370.2</v>
      </c>
      <c r="W17" s="0" t="n">
        <v>366.9</v>
      </c>
      <c r="X17" s="6" t="n">
        <f aca="false">AVERAGE(D17:W17)</f>
        <v>354.07</v>
      </c>
      <c r="Y17" s="7" t="n">
        <f aca="false">_xlfn.STDEV.P(D17:W17)</f>
        <v>12.9617167072884</v>
      </c>
      <c r="Z17" s="7" t="n">
        <f aca="false">Y17/X17</f>
        <v>0.036607780120565</v>
      </c>
    </row>
    <row r="18" customFormat="false" ht="15" hidden="false" customHeight="false" outlineLevel="0" collapsed="false">
      <c r="A18" s="1" t="s">
        <v>34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429.2</v>
      </c>
      <c r="E23" s="0" t="n">
        <v>422.3</v>
      </c>
      <c r="F23" s="0" t="n">
        <v>423.5</v>
      </c>
      <c r="G23" s="0" t="n">
        <v>426.9</v>
      </c>
      <c r="H23" s="0" t="n">
        <v>449.1</v>
      </c>
      <c r="I23" s="0" t="n">
        <v>423</v>
      </c>
      <c r="J23" s="0" t="n">
        <v>451.4</v>
      </c>
      <c r="K23" s="0" t="n">
        <v>427.1</v>
      </c>
      <c r="L23" s="0" t="n">
        <v>424.8</v>
      </c>
      <c r="M23" s="0" t="n">
        <v>426.7</v>
      </c>
      <c r="N23" s="0" t="n">
        <v>422.6</v>
      </c>
      <c r="O23" s="0" t="n">
        <v>423.8</v>
      </c>
      <c r="P23" s="0" t="n">
        <v>422</v>
      </c>
      <c r="Q23" s="0" t="n">
        <v>453.9</v>
      </c>
      <c r="R23" s="0" t="n">
        <v>423.2</v>
      </c>
      <c r="S23" s="0" t="n">
        <v>424.8</v>
      </c>
      <c r="T23" s="0" t="n">
        <v>426.5</v>
      </c>
      <c r="U23" s="0" t="n">
        <v>423.3</v>
      </c>
      <c r="V23" s="0" t="n">
        <v>453.5</v>
      </c>
      <c r="W23" s="0" t="n">
        <v>431.1</v>
      </c>
      <c r="X23" s="6" t="n">
        <f aca="false">AVERAGE(D23:W23)</f>
        <v>430.435</v>
      </c>
      <c r="Y23" s="7" t="n">
        <f aca="false">_xlfn.STDEV.S(D23:W23)</f>
        <v>11.3285979529219</v>
      </c>
      <c r="Z23" s="7" t="n">
        <f aca="false">Y23/X23</f>
        <v>0.026318951648732</v>
      </c>
    </row>
    <row r="24" customFormat="false" ht="16.75" hidden="false" customHeight="false" outlineLevel="0" collapsed="false">
      <c r="B24" s="4"/>
      <c r="C24" s="5" t="n">
        <v>25</v>
      </c>
      <c r="D24" s="0" t="n">
        <v>426.3</v>
      </c>
      <c r="E24" s="0" t="n">
        <v>424</v>
      </c>
      <c r="F24" s="0" t="n">
        <v>426.1</v>
      </c>
      <c r="G24" s="0" t="n">
        <v>428.3</v>
      </c>
      <c r="H24" s="0" t="n">
        <v>428.5</v>
      </c>
      <c r="I24" s="0" t="n">
        <v>427.1</v>
      </c>
      <c r="J24" s="0" t="n">
        <v>429.8</v>
      </c>
      <c r="K24" s="0" t="n">
        <v>425.5</v>
      </c>
      <c r="L24" s="0" t="n">
        <v>430.3</v>
      </c>
      <c r="M24" s="0" t="n">
        <v>423.6</v>
      </c>
      <c r="N24" s="0" t="n">
        <v>428.7</v>
      </c>
      <c r="O24" s="0" t="n">
        <v>424</v>
      </c>
      <c r="P24" s="0" t="n">
        <v>421.1</v>
      </c>
      <c r="Q24" s="0" t="n">
        <v>445.1</v>
      </c>
      <c r="R24" s="0" t="n">
        <v>429.9</v>
      </c>
      <c r="S24" s="0" t="n">
        <v>424.8</v>
      </c>
      <c r="T24" s="0" t="n">
        <v>427.6</v>
      </c>
      <c r="U24" s="0" t="n">
        <v>425.5</v>
      </c>
      <c r="V24" s="0" t="n">
        <v>427.5</v>
      </c>
      <c r="W24" s="0" t="n">
        <v>430.3</v>
      </c>
      <c r="X24" s="6" t="n">
        <f aca="false">AVERAGE(D24:W24)</f>
        <v>427.7</v>
      </c>
      <c r="Y24" s="7" t="n">
        <f aca="false">_xlfn.STDEV.S(D24:W24)</f>
        <v>4.80295961388721</v>
      </c>
      <c r="Z24" s="7" t="n">
        <f aca="false">Y24/X24</f>
        <v>0.0112297395695282</v>
      </c>
    </row>
    <row r="25" customFormat="false" ht="16.75" hidden="false" customHeight="false" outlineLevel="0" collapsed="false">
      <c r="B25" s="4"/>
      <c r="C25" s="5" t="n">
        <v>38</v>
      </c>
      <c r="D25" s="0" t="n">
        <v>422.8</v>
      </c>
      <c r="E25" s="0" t="n">
        <v>450.6</v>
      </c>
      <c r="F25" s="0" t="n">
        <v>426.3</v>
      </c>
      <c r="G25" s="0" t="n">
        <v>424.7</v>
      </c>
      <c r="H25" s="0" t="n">
        <v>426</v>
      </c>
      <c r="I25" s="0" t="n">
        <v>424.7</v>
      </c>
      <c r="J25" s="0" t="n">
        <v>454.1</v>
      </c>
      <c r="K25" s="0" t="n">
        <v>421.7</v>
      </c>
      <c r="L25" s="0" t="n">
        <v>421.6</v>
      </c>
      <c r="M25" s="0" t="n">
        <v>426.1</v>
      </c>
      <c r="N25" s="0" t="n">
        <v>424.5</v>
      </c>
      <c r="O25" s="0" t="n">
        <v>423.1</v>
      </c>
      <c r="P25" s="0" t="n">
        <v>424.2</v>
      </c>
      <c r="Q25" s="0" t="n">
        <v>420.1</v>
      </c>
      <c r="R25" s="0" t="n">
        <v>426.5</v>
      </c>
      <c r="S25" s="0" t="n">
        <v>421.4</v>
      </c>
      <c r="T25" s="0" t="n">
        <v>426.2</v>
      </c>
      <c r="U25" s="0" t="n">
        <v>420.5</v>
      </c>
      <c r="V25" s="0" t="n">
        <v>423.4</v>
      </c>
      <c r="W25" s="0" t="n">
        <v>420.6</v>
      </c>
      <c r="X25" s="6" t="n">
        <f aca="false">AVERAGE(D25:W25)</f>
        <v>426.455</v>
      </c>
      <c r="Y25" s="7" t="n">
        <f aca="false">_xlfn.STDEV.S(D25:W25)</f>
        <v>9.11485051989335</v>
      </c>
      <c r="Z25" s="7" t="n">
        <f aca="false">Y25/X25</f>
        <v>0.0213735341827235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408.4</v>
      </c>
      <c r="E26" s="0" t="n">
        <v>405.3</v>
      </c>
      <c r="F26" s="0" t="n">
        <v>399</v>
      </c>
      <c r="G26" s="0" t="n">
        <v>414.1</v>
      </c>
      <c r="H26" s="0" t="n">
        <v>405.5</v>
      </c>
      <c r="I26" s="0" t="n">
        <v>408.8</v>
      </c>
      <c r="J26" s="0" t="n">
        <v>409.5</v>
      </c>
      <c r="K26" s="0" t="n">
        <v>407</v>
      </c>
      <c r="L26" s="0" t="n">
        <v>415.9</v>
      </c>
      <c r="M26" s="0" t="n">
        <v>415.2</v>
      </c>
      <c r="N26" s="0" t="n">
        <v>426.7</v>
      </c>
      <c r="O26" s="0" t="n">
        <v>410.5</v>
      </c>
      <c r="P26" s="0" t="n">
        <v>401.4</v>
      </c>
      <c r="Q26" s="0" t="n">
        <v>401.8</v>
      </c>
      <c r="R26" s="0" t="n">
        <v>397.9</v>
      </c>
      <c r="S26" s="0" t="n">
        <v>410.4</v>
      </c>
      <c r="T26" s="0" t="n">
        <v>407.5</v>
      </c>
      <c r="U26" s="0" t="n">
        <v>405.6</v>
      </c>
      <c r="V26" s="0" t="n">
        <v>390.6</v>
      </c>
      <c r="W26" s="0" t="n">
        <v>403.5</v>
      </c>
      <c r="X26" s="6" t="n">
        <f aca="false">AVERAGE(D26:W26)</f>
        <v>407.23</v>
      </c>
      <c r="Y26" s="7" t="n">
        <f aca="false">_xlfn.STDEV.S(D26:W26)</f>
        <v>7.65342028803222</v>
      </c>
      <c r="Z26" s="7" t="n">
        <f aca="false">Y26/X26</f>
        <v>0.0187938518479292</v>
      </c>
    </row>
    <row r="27" customFormat="false" ht="16.75" hidden="false" customHeight="false" outlineLevel="0" collapsed="false">
      <c r="B27" s="4"/>
      <c r="C27" s="5" t="n">
        <v>63</v>
      </c>
      <c r="D27" s="0" t="n">
        <v>413.9</v>
      </c>
      <c r="E27" s="0" t="n">
        <v>417.2</v>
      </c>
      <c r="F27" s="0" t="n">
        <v>422.3</v>
      </c>
      <c r="G27" s="0" t="n">
        <v>415.3</v>
      </c>
      <c r="H27" s="0" t="n">
        <v>420.1</v>
      </c>
      <c r="I27" s="0" t="n">
        <v>415.6</v>
      </c>
      <c r="J27" s="0" t="n">
        <v>415.7</v>
      </c>
      <c r="K27" s="0" t="n">
        <v>410.6</v>
      </c>
      <c r="L27" s="0" t="n">
        <v>420.4</v>
      </c>
      <c r="M27" s="0" t="n">
        <v>410.3</v>
      </c>
      <c r="N27" s="0" t="n">
        <v>429.3</v>
      </c>
      <c r="O27" s="0" t="n">
        <v>421.2</v>
      </c>
      <c r="P27" s="0" t="n">
        <v>418.7</v>
      </c>
      <c r="Q27" s="0" t="n">
        <v>414</v>
      </c>
      <c r="R27" s="0" t="n">
        <v>413.7</v>
      </c>
      <c r="S27" s="0" t="n">
        <v>412.9</v>
      </c>
      <c r="T27" s="0" t="n">
        <v>414.2</v>
      </c>
      <c r="U27" s="0" t="n">
        <v>414.9</v>
      </c>
      <c r="V27" s="0" t="n">
        <v>420.3</v>
      </c>
      <c r="W27" s="0" t="n">
        <v>427.4</v>
      </c>
      <c r="X27" s="6" t="n">
        <f aca="false">AVERAGE(D27:W27)</f>
        <v>417.4</v>
      </c>
      <c r="Y27" s="7" t="n">
        <f aca="false">_xlfn.STDEV.S(D27:W27)</f>
        <v>5.06754378372797</v>
      </c>
      <c r="Z27" s="7" t="n">
        <f aca="false">Y27/X27</f>
        <v>0.0121407373831528</v>
      </c>
    </row>
    <row r="28" customFormat="false" ht="16.75" hidden="false" customHeight="false" outlineLevel="0" collapsed="false">
      <c r="B28" s="4"/>
      <c r="C28" s="5" t="n">
        <v>93</v>
      </c>
      <c r="D28" s="0" t="n">
        <v>423.1</v>
      </c>
      <c r="E28" s="0" t="n">
        <v>419.7</v>
      </c>
      <c r="F28" s="0" t="n">
        <v>423.3</v>
      </c>
      <c r="G28" s="0" t="n">
        <v>429.9</v>
      </c>
      <c r="H28" s="0" t="n">
        <v>414.1</v>
      </c>
      <c r="I28" s="0" t="n">
        <v>412.8</v>
      </c>
      <c r="J28" s="0" t="n">
        <v>426.9</v>
      </c>
      <c r="K28" s="0" t="n">
        <v>427.9</v>
      </c>
      <c r="L28" s="0" t="n">
        <v>423.1</v>
      </c>
      <c r="M28" s="0" t="n">
        <v>417.1</v>
      </c>
      <c r="N28" s="0" t="n">
        <v>434.9</v>
      </c>
      <c r="O28" s="0" t="n">
        <v>423.2</v>
      </c>
      <c r="P28" s="0" t="n">
        <v>411.2</v>
      </c>
      <c r="Q28" s="0" t="n">
        <v>423.3</v>
      </c>
      <c r="R28" s="0" t="n">
        <v>418.7</v>
      </c>
      <c r="S28" s="0" t="n">
        <v>414.5</v>
      </c>
      <c r="T28" s="0" t="n">
        <v>431.7</v>
      </c>
      <c r="U28" s="0" t="n">
        <v>425.2</v>
      </c>
      <c r="V28" s="0" t="n">
        <v>421.3</v>
      </c>
      <c r="W28" s="0" t="n">
        <v>418.2</v>
      </c>
      <c r="X28" s="6" t="n">
        <f aca="false">AVERAGE(D28:W28)</f>
        <v>422.005</v>
      </c>
      <c r="Y28" s="7" t="n">
        <f aca="false">_xlfn.STDEV.S(D28:W28)</f>
        <v>6.38365305415241</v>
      </c>
      <c r="Z28" s="7" t="n">
        <f aca="false">Y28/X28</f>
        <v>0.0151269607093575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352.6</v>
      </c>
      <c r="E29" s="0" t="n">
        <v>351.8</v>
      </c>
      <c r="F29" s="0" t="n">
        <v>359.1</v>
      </c>
      <c r="G29" s="0" t="n">
        <v>352.7</v>
      </c>
      <c r="H29" s="0" t="n">
        <v>383</v>
      </c>
      <c r="I29" s="0" t="n">
        <v>350</v>
      </c>
      <c r="J29" s="0" t="n">
        <v>348.5</v>
      </c>
      <c r="K29" s="0" t="n">
        <v>351.9</v>
      </c>
      <c r="L29" s="0" t="n">
        <v>346.3</v>
      </c>
      <c r="M29" s="0" t="n">
        <v>354.1</v>
      </c>
      <c r="N29" s="0" t="n">
        <v>358.6</v>
      </c>
      <c r="O29" s="0" t="n">
        <v>353.1</v>
      </c>
      <c r="P29" s="0" t="n">
        <v>356.8</v>
      </c>
      <c r="Q29" s="0" t="n">
        <v>358.2</v>
      </c>
      <c r="R29" s="0" t="n">
        <v>345.2</v>
      </c>
      <c r="S29" s="0" t="n">
        <v>353.9</v>
      </c>
      <c r="T29" s="0" t="n">
        <v>348.9</v>
      </c>
      <c r="U29" s="0" t="n">
        <v>359.3</v>
      </c>
      <c r="V29" s="0" t="n">
        <v>379.9</v>
      </c>
      <c r="W29" s="0" t="n">
        <v>351.3</v>
      </c>
      <c r="X29" s="6" t="n">
        <f aca="false">AVERAGE(D29:W29)</f>
        <v>355.76</v>
      </c>
      <c r="Y29" s="7" t="n">
        <f aca="false">_xlfn.STDEV.S(D29:W29)</f>
        <v>9.68071332734917</v>
      </c>
      <c r="Z29" s="7" t="n">
        <f aca="false">Y29/X29</f>
        <v>0.0272113597013413</v>
      </c>
    </row>
    <row r="30" customFormat="false" ht="16.75" hidden="false" customHeight="false" outlineLevel="0" collapsed="false">
      <c r="B30" s="4"/>
      <c r="C30" s="5" t="n">
        <v>38</v>
      </c>
      <c r="D30" s="0" t="n">
        <v>344.4</v>
      </c>
      <c r="E30" s="0" t="n">
        <v>358.2</v>
      </c>
      <c r="F30" s="0" t="n">
        <v>357.3</v>
      </c>
      <c r="G30" s="0" t="n">
        <v>348.1</v>
      </c>
      <c r="H30" s="0" t="n">
        <v>353</v>
      </c>
      <c r="I30" s="0" t="n">
        <v>353.1</v>
      </c>
      <c r="J30" s="0" t="n">
        <v>357.6</v>
      </c>
      <c r="K30" s="0" t="n">
        <v>361.3</v>
      </c>
      <c r="L30" s="0" t="n">
        <v>352.9</v>
      </c>
      <c r="M30" s="0" t="n">
        <v>354</v>
      </c>
      <c r="N30" s="0" t="n">
        <v>350.3</v>
      </c>
      <c r="O30" s="0" t="n">
        <v>351.4</v>
      </c>
      <c r="P30" s="0" t="n">
        <v>373.8</v>
      </c>
      <c r="Q30" s="0" t="n">
        <v>355.4</v>
      </c>
      <c r="R30" s="0" t="n">
        <v>357.2</v>
      </c>
      <c r="S30" s="0" t="n">
        <v>357</v>
      </c>
      <c r="T30" s="0" t="n">
        <v>355.7</v>
      </c>
      <c r="U30" s="0" t="n">
        <v>356.9</v>
      </c>
      <c r="V30" s="0" t="n">
        <v>359.5</v>
      </c>
      <c r="W30" s="0" t="n">
        <v>440.7</v>
      </c>
      <c r="X30" s="6" t="n">
        <f aca="false">AVERAGE(D30:W30)</f>
        <v>359.89</v>
      </c>
      <c r="Y30" s="7" t="n">
        <f aca="false">_xlfn.STDEV.S(D30:W30)</f>
        <v>19.8985029852155</v>
      </c>
      <c r="Z30" s="7" t="n">
        <f aca="false">Y30/X30</f>
        <v>0.0552905137270153</v>
      </c>
    </row>
    <row r="31" customFormat="false" ht="16.75" hidden="false" customHeight="false" outlineLevel="0" collapsed="false">
      <c r="B31" s="4"/>
      <c r="C31" s="5" t="n">
        <v>50</v>
      </c>
      <c r="D31" s="0" t="n">
        <v>363.4</v>
      </c>
      <c r="E31" s="0" t="n">
        <v>358.8</v>
      </c>
      <c r="F31" s="0" t="n">
        <v>370.1</v>
      </c>
      <c r="G31" s="0" t="n">
        <v>396.5</v>
      </c>
      <c r="H31" s="0" t="n">
        <v>360.8</v>
      </c>
      <c r="I31" s="0" t="n">
        <v>369.3</v>
      </c>
      <c r="J31" s="0" t="n">
        <v>364</v>
      </c>
      <c r="K31" s="0" t="n">
        <v>358.7</v>
      </c>
      <c r="L31" s="0" t="n">
        <v>365.2</v>
      </c>
      <c r="M31" s="0" t="n">
        <v>366.1</v>
      </c>
      <c r="N31" s="0" t="n">
        <v>368.2</v>
      </c>
      <c r="O31" s="0" t="n">
        <v>381.2</v>
      </c>
      <c r="P31" s="0" t="n">
        <v>383.2</v>
      </c>
      <c r="Q31" s="0" t="n">
        <v>391.8</v>
      </c>
      <c r="R31" s="0" t="n">
        <v>367.5</v>
      </c>
      <c r="S31" s="0" t="n">
        <v>377.3</v>
      </c>
      <c r="T31" s="0" t="n">
        <v>365.2</v>
      </c>
      <c r="U31" s="0" t="n">
        <v>368.1</v>
      </c>
      <c r="V31" s="0" t="n">
        <v>360.2</v>
      </c>
      <c r="W31" s="0" t="n">
        <v>391.9</v>
      </c>
      <c r="X31" s="6" t="n">
        <f aca="false">AVERAGE(D31:W31)</f>
        <v>371.375</v>
      </c>
      <c r="Y31" s="7" t="n">
        <f aca="false">_xlfn.STDEV.S(D31:W31)</f>
        <v>11.6087931735977</v>
      </c>
      <c r="Z31" s="7" t="n">
        <f aca="false">Y31/X31</f>
        <v>0.0312589516623297</v>
      </c>
    </row>
    <row r="32" customFormat="false" ht="16.75" hidden="false" customHeight="false" outlineLevel="0" collapsed="false">
      <c r="B32" s="4"/>
      <c r="C32" s="5" t="n">
        <v>75</v>
      </c>
      <c r="D32" s="0" t="n">
        <v>365.4</v>
      </c>
      <c r="E32" s="0" t="n">
        <v>370.8</v>
      </c>
      <c r="F32" s="0" t="n">
        <v>381.8</v>
      </c>
      <c r="G32" s="0" t="n">
        <v>370</v>
      </c>
      <c r="H32" s="0" t="n">
        <v>369.2</v>
      </c>
      <c r="I32" s="0" t="n">
        <v>370.9</v>
      </c>
      <c r="J32" s="0" t="n">
        <v>377</v>
      </c>
      <c r="K32" s="0" t="n">
        <v>375.2</v>
      </c>
      <c r="L32" s="0" t="n">
        <v>376.6</v>
      </c>
      <c r="M32" s="0" t="n">
        <v>372.4</v>
      </c>
      <c r="N32" s="0" t="n">
        <v>371.3</v>
      </c>
      <c r="O32" s="0" t="n">
        <v>374.8</v>
      </c>
      <c r="P32" s="0" t="n">
        <v>381.3</v>
      </c>
      <c r="Q32" s="0" t="n">
        <v>401.9</v>
      </c>
      <c r="R32" s="0" t="n">
        <v>368.7</v>
      </c>
      <c r="S32" s="0" t="n">
        <v>368.5</v>
      </c>
      <c r="T32" s="0" t="n">
        <v>370.2</v>
      </c>
      <c r="U32" s="0" t="n">
        <v>365.1</v>
      </c>
      <c r="V32" s="0" t="n">
        <v>374.4</v>
      </c>
      <c r="W32" s="0" t="n">
        <v>363.6</v>
      </c>
      <c r="X32" s="6" t="n">
        <f aca="false">AVERAGE(D32:W32)</f>
        <v>373.455</v>
      </c>
      <c r="Y32" s="7" t="n">
        <f aca="false">_xlfn.STDEV.S(D32:W32)</f>
        <v>8.29536807977484</v>
      </c>
      <c r="Z32" s="7" t="n">
        <f aca="false">Y32/X32</f>
        <v>0.0222124970338457</v>
      </c>
    </row>
    <row r="33" customFormat="false" ht="16.75" hidden="false" customHeight="false" outlineLevel="0" collapsed="false">
      <c r="B33" s="4"/>
      <c r="C33" s="5" t="n">
        <v>100</v>
      </c>
      <c r="D33" s="0" t="n">
        <v>372.9</v>
      </c>
      <c r="E33" s="0" t="n">
        <v>376.8</v>
      </c>
      <c r="F33" s="0" t="n">
        <v>374.8</v>
      </c>
      <c r="G33" s="0" t="n">
        <v>370.5</v>
      </c>
      <c r="H33" s="0" t="n">
        <v>370.7</v>
      </c>
      <c r="I33" s="0" t="n">
        <v>374.1</v>
      </c>
      <c r="J33" s="0" t="n">
        <v>367.1</v>
      </c>
      <c r="K33" s="0" t="n">
        <v>360.1</v>
      </c>
      <c r="L33" s="0" t="n">
        <v>387.9</v>
      </c>
      <c r="M33" s="0" t="n">
        <v>370.9</v>
      </c>
      <c r="N33" s="0" t="n">
        <v>375</v>
      </c>
      <c r="O33" s="0" t="n">
        <v>380.9</v>
      </c>
      <c r="P33" s="0" t="n">
        <v>377.4</v>
      </c>
      <c r="Q33" s="0" t="n">
        <v>374.3</v>
      </c>
      <c r="R33" s="0" t="n">
        <v>373.7</v>
      </c>
      <c r="S33" s="0" t="n">
        <v>375.4</v>
      </c>
      <c r="T33" s="0" t="n">
        <v>371.1</v>
      </c>
      <c r="U33" s="0" t="n">
        <v>373.7</v>
      </c>
      <c r="V33" s="0" t="n">
        <v>370.1</v>
      </c>
      <c r="W33" s="0" t="n">
        <v>375.3</v>
      </c>
      <c r="X33" s="6" t="n">
        <f aca="false">AVERAGE(D33:W33)</f>
        <v>373.635</v>
      </c>
      <c r="Y33" s="7" t="n">
        <f aca="false">_xlfn.STDEV.S(D33:W33)</f>
        <v>5.43635665535388</v>
      </c>
      <c r="Z33" s="7" t="n">
        <f aca="false">Y33/X33</f>
        <v>0.0145499127634025</v>
      </c>
    </row>
    <row r="34" customFormat="false" ht="16.75" hidden="false" customHeight="false" outlineLevel="0" collapsed="false">
      <c r="B34" s="4"/>
      <c r="C34" s="5" t="n">
        <v>150</v>
      </c>
      <c r="D34" s="0" t="n">
        <v>379</v>
      </c>
      <c r="E34" s="0" t="n">
        <v>387.8</v>
      </c>
      <c r="F34" s="0" t="n">
        <v>377.9</v>
      </c>
      <c r="G34" s="0" t="n">
        <v>406.3</v>
      </c>
      <c r="H34" s="0" t="n">
        <v>384.8</v>
      </c>
      <c r="I34" s="0" t="n">
        <v>390.7</v>
      </c>
      <c r="J34" s="0" t="n">
        <v>395.6</v>
      </c>
      <c r="K34" s="0" t="n">
        <v>395.5</v>
      </c>
      <c r="L34" s="0" t="n">
        <v>391.1</v>
      </c>
      <c r="M34" s="0" t="n">
        <v>400.1</v>
      </c>
      <c r="N34" s="0" t="n">
        <v>373.9</v>
      </c>
      <c r="O34" s="0" t="n">
        <v>380.8</v>
      </c>
      <c r="P34" s="0" t="n">
        <v>385.9</v>
      </c>
      <c r="Q34" s="0" t="n">
        <v>366.3</v>
      </c>
      <c r="R34" s="0" t="n">
        <v>382.8</v>
      </c>
      <c r="S34" s="0" t="n">
        <v>388.9</v>
      </c>
      <c r="T34" s="0" t="n">
        <v>376.4</v>
      </c>
      <c r="U34" s="0" t="n">
        <v>396.7</v>
      </c>
      <c r="V34" s="0" t="n">
        <v>383.4</v>
      </c>
      <c r="W34" s="0" t="n">
        <v>407.7</v>
      </c>
      <c r="X34" s="6" t="n">
        <f aca="false">AVERAGE(D34:W34)</f>
        <v>387.58</v>
      </c>
      <c r="Y34" s="7" t="n">
        <f aca="false">_xlfn.STDEV.S(D34:W34)</f>
        <v>10.6999065416479</v>
      </c>
      <c r="Z34" s="7" t="n">
        <f aca="false">Y34/X34</f>
        <v>0.0276069625410184</v>
      </c>
    </row>
    <row r="35" customFormat="false" ht="15" hidden="false" customHeight="false" outlineLevel="0" collapsed="false">
      <c r="A35" s="1" t="s">
        <v>34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420.7</v>
      </c>
      <c r="E40" s="0" t="n">
        <v>427.6</v>
      </c>
      <c r="F40" s="0" t="n">
        <v>424.5</v>
      </c>
      <c r="G40" s="0" t="n">
        <v>422.7</v>
      </c>
      <c r="H40" s="0" t="n">
        <v>423.1</v>
      </c>
      <c r="I40" s="0" t="n">
        <v>425.2</v>
      </c>
      <c r="J40" s="0" t="n">
        <v>425.2</v>
      </c>
      <c r="K40" s="0" t="n">
        <v>446</v>
      </c>
      <c r="L40" s="0" t="n">
        <v>421.1</v>
      </c>
      <c r="M40" s="0" t="n">
        <v>423.8</v>
      </c>
      <c r="N40" s="0" t="n">
        <v>424.6</v>
      </c>
      <c r="O40" s="0" t="n">
        <v>424.5</v>
      </c>
      <c r="P40" s="0" t="n">
        <v>425.4</v>
      </c>
      <c r="Q40" s="0" t="n">
        <v>419.3</v>
      </c>
      <c r="R40" s="0" t="n">
        <v>428</v>
      </c>
      <c r="S40" s="8" t="s">
        <v>35</v>
      </c>
      <c r="T40" s="0" t="n">
        <v>428.9</v>
      </c>
      <c r="U40" s="0" t="n">
        <v>428.3</v>
      </c>
      <c r="V40" s="0" t="n">
        <v>417.9</v>
      </c>
      <c r="W40" s="0" t="n">
        <v>436.6</v>
      </c>
      <c r="X40" s="6" t="n">
        <f aca="false">AVERAGE(D40:W40)</f>
        <v>425.968421052632</v>
      </c>
      <c r="Y40" s="7" t="n">
        <f aca="false">_xlfn.STDEV.S(D40:W40)</f>
        <v>6.35715280710363</v>
      </c>
      <c r="Z40" s="7" t="n">
        <f aca="false">Y40/X40</f>
        <v>0.0149240002143684</v>
      </c>
    </row>
    <row r="41" customFormat="false" ht="16.75" hidden="false" customHeight="false" outlineLevel="0" collapsed="false">
      <c r="B41" s="4"/>
      <c r="C41" s="5" t="n">
        <v>25</v>
      </c>
      <c r="D41" s="0" t="n">
        <v>427.5</v>
      </c>
      <c r="E41" s="0" t="n">
        <v>440.4</v>
      </c>
      <c r="F41" s="0" t="n">
        <v>430.1</v>
      </c>
      <c r="G41" s="0" t="n">
        <v>426.3</v>
      </c>
      <c r="H41" s="0" t="n">
        <v>429.6</v>
      </c>
      <c r="I41" s="0" t="n">
        <v>422.4</v>
      </c>
      <c r="J41" s="0" t="n">
        <v>424.3</v>
      </c>
      <c r="K41" s="0" t="n">
        <v>427.5</v>
      </c>
      <c r="L41" s="0" t="n">
        <v>442.2</v>
      </c>
      <c r="M41" s="0" t="n">
        <v>427.2</v>
      </c>
      <c r="N41" s="0" t="n">
        <v>445.8</v>
      </c>
      <c r="O41" s="0" t="n">
        <v>421.4</v>
      </c>
      <c r="P41" s="0" t="n">
        <v>424.3</v>
      </c>
      <c r="Q41" s="0" t="n">
        <v>426.5</v>
      </c>
      <c r="R41" s="0" t="n">
        <v>425.1</v>
      </c>
      <c r="S41" s="0" t="n">
        <v>422.5</v>
      </c>
      <c r="T41" s="0" t="n">
        <v>428</v>
      </c>
      <c r="U41" s="0" t="n">
        <v>424.5</v>
      </c>
      <c r="V41" s="0" t="n">
        <v>427.3</v>
      </c>
      <c r="W41" s="0" t="n">
        <v>427</v>
      </c>
      <c r="X41" s="6" t="n">
        <f aca="false">AVERAGE(D41:W41)</f>
        <v>428.495</v>
      </c>
      <c r="Y41" s="7" t="n">
        <f aca="false">_xlfn.STDEV.S(D41:W41)</f>
        <v>6.63043024721307</v>
      </c>
      <c r="Z41" s="7" t="n">
        <f aca="false">Y41/X41</f>
        <v>0.0154737633979698</v>
      </c>
    </row>
    <row r="42" customFormat="false" ht="16.75" hidden="false" customHeight="false" outlineLevel="0" collapsed="false">
      <c r="B42" s="4"/>
      <c r="C42" s="5" t="n">
        <v>38</v>
      </c>
      <c r="D42" s="0" t="n">
        <v>423.3</v>
      </c>
      <c r="E42" s="0" t="n">
        <v>419.4</v>
      </c>
      <c r="F42" s="0" t="n">
        <v>420.1</v>
      </c>
      <c r="G42" s="0" t="n">
        <v>421.7</v>
      </c>
      <c r="H42" s="0" t="n">
        <v>421.5</v>
      </c>
      <c r="I42" s="0" t="n">
        <v>426.6</v>
      </c>
      <c r="J42" s="0" t="n">
        <v>421.8</v>
      </c>
      <c r="K42" s="0" t="n">
        <v>422.7</v>
      </c>
      <c r="L42" s="0" t="n">
        <v>417.3</v>
      </c>
      <c r="M42" s="0" t="n">
        <v>420.6</v>
      </c>
      <c r="N42" s="0" t="n">
        <v>424.6</v>
      </c>
      <c r="O42" s="0" t="n">
        <v>422.5</v>
      </c>
      <c r="P42" s="0" t="n">
        <v>423.3</v>
      </c>
      <c r="Q42" s="0" t="n">
        <v>446.5</v>
      </c>
      <c r="R42" s="0" t="n">
        <v>417.2</v>
      </c>
      <c r="S42" s="0" t="n">
        <v>419</v>
      </c>
      <c r="T42" s="0" t="n">
        <v>423.9</v>
      </c>
      <c r="U42" s="0" t="n">
        <v>446.7</v>
      </c>
      <c r="V42" s="0" t="n">
        <v>449</v>
      </c>
      <c r="W42" s="0" t="n">
        <v>425.9</v>
      </c>
      <c r="X42" s="6" t="n">
        <f aca="false">AVERAGE(D42:W42)</f>
        <v>425.68</v>
      </c>
      <c r="Y42" s="7" t="n">
        <f aca="false">_xlfn.STDEV.S(D42:W42)</f>
        <v>9.69588083998343</v>
      </c>
      <c r="Z42" s="7" t="n">
        <f aca="false">Y42/X42</f>
        <v>0.0227773934410436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450.9</v>
      </c>
      <c r="E43" s="0" t="n">
        <v>437.4</v>
      </c>
      <c r="F43" s="0" t="n">
        <v>439.6</v>
      </c>
      <c r="G43" s="0" t="n">
        <v>438.9</v>
      </c>
      <c r="H43" s="0" t="n">
        <v>440.5</v>
      </c>
      <c r="I43" s="0" t="n">
        <v>439.5</v>
      </c>
      <c r="J43" s="0" t="n">
        <v>445.1</v>
      </c>
      <c r="K43" s="0" t="n">
        <v>454.9</v>
      </c>
      <c r="L43" s="0" t="n">
        <v>438.4</v>
      </c>
      <c r="M43" s="0" t="n">
        <v>442.6</v>
      </c>
      <c r="N43" s="0" t="n">
        <v>439.8</v>
      </c>
      <c r="O43" s="0" t="n">
        <v>441.7</v>
      </c>
      <c r="P43" s="0" t="n">
        <v>439.8</v>
      </c>
      <c r="Q43" s="0" t="n">
        <v>448.4</v>
      </c>
      <c r="R43" s="0" t="n">
        <v>440.7</v>
      </c>
      <c r="S43" s="0" t="n">
        <v>443.8</v>
      </c>
      <c r="T43" s="0" t="n">
        <v>447.1</v>
      </c>
      <c r="U43" s="0" t="n">
        <v>437.8</v>
      </c>
      <c r="V43" s="0" t="n">
        <v>449.8</v>
      </c>
      <c r="W43" s="0" t="n">
        <v>440.5</v>
      </c>
      <c r="X43" s="6" t="n">
        <f aca="false">AVERAGE(D43:W43)</f>
        <v>442.86</v>
      </c>
      <c r="Y43" s="7" t="n">
        <f aca="false">_xlfn.STDEV.S(D43:W43)</f>
        <v>4.92676898500213</v>
      </c>
      <c r="Z43" s="7" t="n">
        <f aca="false">Y43/X43</f>
        <v>0.0111248904507116</v>
      </c>
    </row>
    <row r="44" customFormat="false" ht="16.75" hidden="false" customHeight="false" outlineLevel="0" collapsed="false">
      <c r="B44" s="4"/>
      <c r="C44" s="5" t="n">
        <v>63</v>
      </c>
      <c r="D44" s="0" t="n">
        <v>439.8</v>
      </c>
      <c r="E44" s="0" t="n">
        <v>447</v>
      </c>
      <c r="F44" s="0" t="n">
        <v>434.5</v>
      </c>
      <c r="G44" s="0" t="n">
        <v>440.7</v>
      </c>
      <c r="H44" s="0" t="n">
        <v>439.5</v>
      </c>
      <c r="I44" s="0" t="n">
        <v>454</v>
      </c>
      <c r="J44" s="0" t="n">
        <v>446.4</v>
      </c>
      <c r="K44" s="0" t="n">
        <v>439.6</v>
      </c>
      <c r="L44" s="0" t="n">
        <v>435.5</v>
      </c>
      <c r="M44" s="0" t="n">
        <v>439.8</v>
      </c>
      <c r="N44" s="0" t="n">
        <v>446.1</v>
      </c>
      <c r="O44" s="0" t="n">
        <v>444.4</v>
      </c>
      <c r="P44" s="0" t="n">
        <v>445.4</v>
      </c>
      <c r="Q44" s="0" t="n">
        <v>451.9</v>
      </c>
      <c r="R44" s="0" t="n">
        <v>446.5</v>
      </c>
      <c r="S44" s="0" t="n">
        <v>439.3</v>
      </c>
      <c r="T44" s="0" t="n">
        <v>433.5</v>
      </c>
      <c r="U44" s="0" t="n">
        <v>443.7</v>
      </c>
      <c r="V44" s="0" t="n">
        <v>437.3</v>
      </c>
      <c r="W44" s="0" t="n">
        <v>440.3</v>
      </c>
      <c r="X44" s="6" t="n">
        <f aca="false">AVERAGE(D44:W44)</f>
        <v>442.26</v>
      </c>
      <c r="Y44" s="7" t="n">
        <f aca="false">_xlfn.STDEV.S(D44:W44)</f>
        <v>5.47091832953308</v>
      </c>
      <c r="Z44" s="7" t="n">
        <f aca="false">Y44/X44</f>
        <v>0.0123703665932553</v>
      </c>
    </row>
    <row r="45" customFormat="false" ht="16.75" hidden="false" customHeight="false" outlineLevel="0" collapsed="false">
      <c r="B45" s="4"/>
      <c r="C45" s="5" t="n">
        <v>93</v>
      </c>
      <c r="D45" s="0" t="n">
        <v>444.7</v>
      </c>
      <c r="E45" s="0" t="n">
        <v>453</v>
      </c>
      <c r="F45" s="0" t="n">
        <v>445.6</v>
      </c>
      <c r="G45" s="0" t="n">
        <v>443.4</v>
      </c>
      <c r="H45" s="0" t="n">
        <v>437.9</v>
      </c>
      <c r="I45" s="0" t="n">
        <v>448.5</v>
      </c>
      <c r="J45" s="0" t="n">
        <v>436.5</v>
      </c>
      <c r="K45" s="0" t="n">
        <v>439.5</v>
      </c>
      <c r="L45" s="0" t="n">
        <v>441.6</v>
      </c>
      <c r="M45" s="0" t="n">
        <v>433.7</v>
      </c>
      <c r="N45" s="0" t="n">
        <v>440.4</v>
      </c>
      <c r="O45" s="0" t="n">
        <v>454.3</v>
      </c>
      <c r="P45" s="0" t="n">
        <v>441.8</v>
      </c>
      <c r="Q45" s="0" t="n">
        <v>437.2</v>
      </c>
      <c r="R45" s="0" t="n">
        <v>451.6</v>
      </c>
      <c r="S45" s="0" t="n">
        <v>438.9</v>
      </c>
      <c r="T45" s="0" t="n">
        <v>441.7</v>
      </c>
      <c r="U45" s="0" t="n">
        <v>441.8</v>
      </c>
      <c r="V45" s="0" t="n">
        <v>440.4</v>
      </c>
      <c r="W45" s="0" t="n">
        <v>441.8</v>
      </c>
      <c r="X45" s="6" t="n">
        <f aca="false">AVERAGE(D45:W45)</f>
        <v>442.715</v>
      </c>
      <c r="Y45" s="7" t="n">
        <f aca="false">_xlfn.STDEV.S(D45:W45)</f>
        <v>5.52041903443838</v>
      </c>
      <c r="Z45" s="7" t="n">
        <f aca="false">Y45/X45</f>
        <v>0.0124694646317346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346.3</v>
      </c>
      <c r="E46" s="0" t="n">
        <v>341.2</v>
      </c>
      <c r="F46" s="0" t="n">
        <v>351.8</v>
      </c>
      <c r="G46" s="0" t="n">
        <v>341.1</v>
      </c>
      <c r="H46" s="0" t="n">
        <v>346.2</v>
      </c>
      <c r="I46" s="0" t="n">
        <v>349</v>
      </c>
      <c r="J46" s="0" t="n">
        <v>345.5</v>
      </c>
      <c r="K46" s="0" t="n">
        <v>344.4</v>
      </c>
      <c r="L46" s="0" t="n">
        <v>345.2</v>
      </c>
      <c r="M46" s="0" t="n">
        <v>374.3</v>
      </c>
      <c r="N46" s="0" t="n">
        <v>360.7</v>
      </c>
      <c r="O46" s="0" t="n">
        <v>357.6</v>
      </c>
      <c r="P46" s="0" t="n">
        <v>342.7</v>
      </c>
      <c r="Q46" s="0" t="n">
        <v>345.1</v>
      </c>
      <c r="R46" s="0" t="n">
        <v>352.3</v>
      </c>
      <c r="S46" s="0" t="n">
        <v>353</v>
      </c>
      <c r="T46" s="0" t="n">
        <v>349.3</v>
      </c>
      <c r="U46" s="0" t="n">
        <v>363.1</v>
      </c>
      <c r="V46" s="0" t="n">
        <v>345.6</v>
      </c>
      <c r="W46" s="0" t="n">
        <v>340.7</v>
      </c>
      <c r="X46" s="6" t="n">
        <f aca="false">AVERAGE(D46:W46)</f>
        <v>349.755</v>
      </c>
      <c r="Y46" s="7" t="n">
        <f aca="false">_xlfn.STDEV.S(D46:W46)</f>
        <v>8.56783919206311</v>
      </c>
      <c r="Z46" s="7" t="n">
        <f aca="false">Y46/X46</f>
        <v>0.0244966882305131</v>
      </c>
    </row>
    <row r="47" customFormat="false" ht="16.75" hidden="false" customHeight="false" outlineLevel="0" collapsed="false">
      <c r="B47" s="4"/>
      <c r="C47" s="5" t="n">
        <v>38</v>
      </c>
      <c r="D47" s="0" t="n">
        <v>362.2</v>
      </c>
      <c r="E47" s="0" t="n">
        <v>378.6</v>
      </c>
      <c r="F47" s="0" t="n">
        <v>355</v>
      </c>
      <c r="G47" s="0" t="n">
        <v>361.3</v>
      </c>
      <c r="H47" s="0" t="n">
        <v>365.1</v>
      </c>
      <c r="I47" s="0" t="n">
        <v>359</v>
      </c>
      <c r="J47" s="0" t="n">
        <v>366.8</v>
      </c>
      <c r="K47" s="0" t="n">
        <v>376</v>
      </c>
      <c r="L47" s="0" t="n">
        <v>358.8</v>
      </c>
      <c r="M47" s="0" t="n">
        <v>359.7</v>
      </c>
      <c r="N47" s="0" t="n">
        <v>368.4</v>
      </c>
      <c r="O47" s="0" t="n">
        <v>370.3</v>
      </c>
      <c r="P47" s="0" t="n">
        <v>383.5</v>
      </c>
      <c r="Q47" s="0" t="n">
        <v>357.6</v>
      </c>
      <c r="R47" s="0" t="n">
        <v>373.5</v>
      </c>
      <c r="S47" s="0" t="n">
        <v>376.4</v>
      </c>
      <c r="T47" s="0" t="n">
        <v>375.9</v>
      </c>
      <c r="U47" s="0" t="n">
        <v>360.3</v>
      </c>
      <c r="V47" s="0" t="n">
        <v>374</v>
      </c>
      <c r="W47" s="0" t="n">
        <v>365.7</v>
      </c>
      <c r="X47" s="6" t="n">
        <f aca="false">AVERAGE(D47:W47)</f>
        <v>367.405</v>
      </c>
      <c r="Y47" s="7" t="n">
        <f aca="false">_xlfn.STDEV.S(D47:W47)</f>
        <v>8.20413727463483</v>
      </c>
      <c r="Z47" s="7" t="n">
        <f aca="false">Y47/X47</f>
        <v>0.0223299554296616</v>
      </c>
    </row>
    <row r="48" customFormat="false" ht="16.75" hidden="false" customHeight="false" outlineLevel="0" collapsed="false">
      <c r="B48" s="4"/>
      <c r="C48" s="5" t="n">
        <v>50</v>
      </c>
      <c r="D48" s="0" t="n">
        <v>370.1</v>
      </c>
      <c r="E48" s="0" t="n">
        <v>359.8</v>
      </c>
      <c r="F48" s="0" t="n">
        <v>388.5</v>
      </c>
      <c r="G48" s="0" t="n">
        <v>370.1</v>
      </c>
      <c r="H48" s="0" t="n">
        <v>378.1</v>
      </c>
      <c r="I48" s="0" t="n">
        <v>367.7</v>
      </c>
      <c r="J48" s="0" t="n">
        <v>365.3</v>
      </c>
      <c r="K48" s="0" t="n">
        <v>363.9</v>
      </c>
      <c r="L48" s="0" t="n">
        <v>384</v>
      </c>
      <c r="M48" s="0" t="n">
        <v>363.2</v>
      </c>
      <c r="N48" s="0" t="n">
        <v>361.2</v>
      </c>
      <c r="O48" s="0" t="n">
        <v>364.8</v>
      </c>
      <c r="P48" s="0" t="n">
        <v>373.7</v>
      </c>
      <c r="Q48" s="0" t="n">
        <v>358.1</v>
      </c>
      <c r="R48" s="0" t="n">
        <v>363.5</v>
      </c>
      <c r="S48" s="0" t="n">
        <v>361.1</v>
      </c>
      <c r="T48" s="0" t="n">
        <v>364.3</v>
      </c>
      <c r="U48" s="0" t="n">
        <v>361.2</v>
      </c>
      <c r="V48" s="0" t="n">
        <v>362.1</v>
      </c>
      <c r="W48" s="0" t="n">
        <v>370.8</v>
      </c>
      <c r="X48" s="6" t="n">
        <f aca="false">AVERAGE(D48:W48)</f>
        <v>367.575</v>
      </c>
      <c r="Y48" s="7" t="n">
        <f aca="false">_xlfn.STDEV.S(D48:W48)</f>
        <v>8.12843449677864</v>
      </c>
      <c r="Z48" s="7" t="n">
        <f aca="false">Y48/X48</f>
        <v>0.0221136761117558</v>
      </c>
    </row>
    <row r="49" customFormat="false" ht="16.75" hidden="false" customHeight="false" outlineLevel="0" collapsed="false">
      <c r="B49" s="4"/>
      <c r="C49" s="5" t="n">
        <v>75</v>
      </c>
      <c r="D49" s="0" t="n">
        <v>349.2</v>
      </c>
      <c r="E49" s="0" t="n">
        <v>372</v>
      </c>
      <c r="F49" s="0" t="n">
        <v>359</v>
      </c>
      <c r="G49" s="0" t="n">
        <v>361.4</v>
      </c>
      <c r="H49" s="0" t="n">
        <v>360.8</v>
      </c>
      <c r="I49" s="0" t="n">
        <v>367.9</v>
      </c>
      <c r="J49" s="0" t="n">
        <v>349.9</v>
      </c>
      <c r="K49" s="0" t="n">
        <v>377.8</v>
      </c>
      <c r="L49" s="0" t="n">
        <v>378.2</v>
      </c>
      <c r="M49" s="0" t="n">
        <v>366.6</v>
      </c>
      <c r="N49" s="0" t="n">
        <v>376.8</v>
      </c>
      <c r="O49" s="0" t="n">
        <v>358.5</v>
      </c>
      <c r="P49" s="0" t="n">
        <v>355.6</v>
      </c>
      <c r="Q49" s="0" t="n">
        <v>351.9</v>
      </c>
      <c r="R49" s="0" t="n">
        <v>350.7</v>
      </c>
      <c r="S49" s="0" t="n">
        <v>378.1</v>
      </c>
      <c r="T49" s="0" t="n">
        <v>360.5</v>
      </c>
      <c r="U49" s="0" t="n">
        <v>377.7</v>
      </c>
      <c r="V49" s="0" t="n">
        <v>354.9</v>
      </c>
      <c r="W49" s="0" t="n">
        <v>374.8</v>
      </c>
      <c r="X49" s="6" t="n">
        <f aca="false">AVERAGE(D49:W49)</f>
        <v>364.115</v>
      </c>
      <c r="Y49" s="7" t="n">
        <f aca="false">_xlfn.STDEV.S(D49:W49)</f>
        <v>10.5725202393056</v>
      </c>
      <c r="Z49" s="7" t="n">
        <f aca="false">Y49/X49</f>
        <v>0.0290362117443818</v>
      </c>
    </row>
    <row r="50" customFormat="false" ht="16.75" hidden="false" customHeight="false" outlineLevel="0" collapsed="false">
      <c r="B50" s="4"/>
      <c r="C50" s="5" t="n">
        <v>100</v>
      </c>
      <c r="D50" s="0" t="n">
        <v>357.2</v>
      </c>
      <c r="E50" s="0" t="n">
        <v>347.1</v>
      </c>
      <c r="F50" s="0" t="n">
        <v>351.1</v>
      </c>
      <c r="G50" s="0" t="n">
        <v>353.8</v>
      </c>
      <c r="H50" s="0" t="n">
        <v>353.7</v>
      </c>
      <c r="I50" s="0" t="n">
        <v>348.8</v>
      </c>
      <c r="J50" s="0" t="n">
        <v>395</v>
      </c>
      <c r="K50" s="0" t="n">
        <v>397.4</v>
      </c>
      <c r="L50" s="0" t="n">
        <v>384.9</v>
      </c>
      <c r="M50" s="0" t="n">
        <v>405.8</v>
      </c>
      <c r="N50" s="0" t="n">
        <v>419.2</v>
      </c>
      <c r="O50" s="0" t="n">
        <v>397.2</v>
      </c>
      <c r="P50" s="0" t="n">
        <v>407.6</v>
      </c>
      <c r="Q50" s="0" t="n">
        <v>375</v>
      </c>
      <c r="R50" s="0" t="n">
        <v>396.8</v>
      </c>
      <c r="S50" s="0" t="n">
        <v>382.8</v>
      </c>
      <c r="T50" s="0" t="n">
        <v>415.1</v>
      </c>
      <c r="U50" s="0" t="n">
        <v>407.1</v>
      </c>
      <c r="V50" s="0" t="n">
        <v>387.8</v>
      </c>
      <c r="W50" s="0" t="n">
        <v>416.2</v>
      </c>
      <c r="X50" s="6" t="n">
        <f aca="false">AVERAGE(D50:W50)</f>
        <v>384.98</v>
      </c>
      <c r="Y50" s="7" t="n">
        <f aca="false">_xlfn.STDEV.S(D50:W50)</f>
        <v>24.8759575324829</v>
      </c>
      <c r="Z50" s="7" t="n">
        <f aca="false">Y50/X50</f>
        <v>0.064616233395197</v>
      </c>
    </row>
    <row r="51" customFormat="false" ht="16.75" hidden="false" customHeight="false" outlineLevel="0" collapsed="false">
      <c r="B51" s="4"/>
      <c r="C51" s="5" t="n">
        <v>150</v>
      </c>
      <c r="D51" s="0" t="n">
        <v>378.4</v>
      </c>
      <c r="E51" s="0" t="n">
        <v>395.4</v>
      </c>
      <c r="F51" s="0" t="n">
        <v>377.1</v>
      </c>
      <c r="G51" s="0" t="n">
        <v>382</v>
      </c>
      <c r="H51" s="0" t="n">
        <v>404.7</v>
      </c>
      <c r="I51" s="0" t="n">
        <v>377.5</v>
      </c>
      <c r="J51" s="0" t="n">
        <v>378.7</v>
      </c>
      <c r="K51" s="0" t="n">
        <v>376.8</v>
      </c>
      <c r="L51" s="0" t="n">
        <v>363.7</v>
      </c>
      <c r="M51" s="0" t="n">
        <v>387.3</v>
      </c>
      <c r="N51" s="0" t="n">
        <v>382.6</v>
      </c>
      <c r="O51" s="0" t="n">
        <v>373.5</v>
      </c>
      <c r="P51" s="0" t="n">
        <v>375.2</v>
      </c>
      <c r="Q51" s="0" t="n">
        <v>388.6</v>
      </c>
      <c r="R51" s="0" t="n">
        <v>387.2</v>
      </c>
      <c r="S51" s="0" t="n">
        <v>378.8</v>
      </c>
      <c r="T51" s="0" t="n">
        <v>378.3</v>
      </c>
      <c r="U51" s="0" t="n">
        <v>408.4</v>
      </c>
      <c r="V51" s="0" t="n">
        <v>363.9</v>
      </c>
      <c r="W51" s="0" t="n">
        <v>409.8</v>
      </c>
      <c r="X51" s="6" t="n">
        <f aca="false">AVERAGE(D51:W51)</f>
        <v>383.395</v>
      </c>
      <c r="Y51" s="7" t="n">
        <f aca="false">_xlfn.STDEV.S(D51:W51)</f>
        <v>12.8244205778622</v>
      </c>
      <c r="Z51" s="7" t="n">
        <f aca="false">Y51/X51</f>
        <v>0.0334496291758165</v>
      </c>
    </row>
    <row r="52" customFormat="false" ht="15" hidden="false" customHeight="false" outlineLevel="0" collapsed="false">
      <c r="A52" s="1" t="s">
        <v>34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432.5</v>
      </c>
      <c r="E57" s="0" t="n">
        <v>427.4</v>
      </c>
      <c r="F57" s="0" t="n">
        <v>427.6</v>
      </c>
      <c r="G57" s="0" t="n">
        <v>428.7</v>
      </c>
      <c r="H57" s="0" t="n">
        <v>426.4</v>
      </c>
      <c r="I57" s="0" t="n">
        <v>429.9</v>
      </c>
      <c r="J57" s="0" t="n">
        <v>426.8</v>
      </c>
      <c r="K57" s="0" t="n">
        <v>429.7</v>
      </c>
      <c r="L57" s="0" t="n">
        <v>430.1</v>
      </c>
      <c r="M57" s="0" t="n">
        <v>428.2</v>
      </c>
      <c r="N57" s="0" t="n">
        <v>430.6</v>
      </c>
      <c r="O57" s="0" t="n">
        <v>422.1</v>
      </c>
      <c r="P57" s="0" t="n">
        <v>427.4</v>
      </c>
      <c r="Q57" s="0" t="n">
        <v>429.7</v>
      </c>
      <c r="R57" s="0" t="n">
        <v>430.9</v>
      </c>
      <c r="S57" s="0" t="n">
        <v>423.2</v>
      </c>
      <c r="T57" s="0" t="n">
        <v>428.8</v>
      </c>
      <c r="U57" s="0" t="n">
        <v>434</v>
      </c>
      <c r="V57" s="0" t="n">
        <v>426.6</v>
      </c>
      <c r="W57" s="0" t="n">
        <v>431.8</v>
      </c>
      <c r="X57" s="6" t="n">
        <f aca="false">AVERAGE(D57:W57)</f>
        <v>428.62</v>
      </c>
      <c r="Y57" s="7" t="n">
        <f aca="false">_xlfn.STDEV.S(D57:W57)</f>
        <v>2.88217753936517</v>
      </c>
      <c r="Z57" s="7" t="n">
        <f aca="false">Y57/X57</f>
        <v>0.00672431883571734</v>
      </c>
    </row>
    <row r="58" customFormat="false" ht="16.75" hidden="false" customHeight="false" outlineLevel="0" collapsed="false">
      <c r="B58" s="4"/>
      <c r="C58" s="5" t="n">
        <v>25</v>
      </c>
      <c r="D58" s="0" t="n">
        <v>430.5</v>
      </c>
      <c r="E58" s="0" t="n">
        <v>430.5</v>
      </c>
      <c r="F58" s="0" t="n">
        <v>433.1</v>
      </c>
      <c r="G58" s="0" t="n">
        <v>426.7</v>
      </c>
      <c r="H58" s="0" t="n">
        <v>432.2</v>
      </c>
      <c r="I58" s="0" t="n">
        <v>431.2</v>
      </c>
      <c r="J58" s="0" t="n">
        <v>431.5</v>
      </c>
      <c r="K58" s="0" t="n">
        <v>431.5</v>
      </c>
      <c r="L58" s="0" t="n">
        <v>430.5</v>
      </c>
      <c r="M58" s="0" t="n">
        <v>431.8</v>
      </c>
      <c r="N58" s="0" t="n">
        <v>429.4</v>
      </c>
      <c r="O58" s="0" t="n">
        <v>433.9</v>
      </c>
      <c r="P58" s="0" t="n">
        <v>434.2</v>
      </c>
      <c r="Q58" s="0" t="n">
        <v>430.4</v>
      </c>
      <c r="R58" s="0" t="n">
        <v>428</v>
      </c>
      <c r="S58" s="0" t="n">
        <v>436.3</v>
      </c>
      <c r="T58" s="0" t="n">
        <v>432.5</v>
      </c>
      <c r="U58" s="0" t="n">
        <v>433.2</v>
      </c>
      <c r="V58" s="0" t="n">
        <v>432.3</v>
      </c>
      <c r="W58" s="0" t="n">
        <v>428.5</v>
      </c>
      <c r="X58" s="6" t="n">
        <f aca="false">AVERAGE(D58:W58)</f>
        <v>431.41</v>
      </c>
      <c r="Y58" s="7" t="n">
        <f aca="false">_xlfn.STDEV.S(D58:W58)</f>
        <v>2.2547960579968</v>
      </c>
      <c r="Z58" s="7" t="n">
        <f aca="false">Y58/X58</f>
        <v>0.00522657346375096</v>
      </c>
    </row>
    <row r="59" customFormat="false" ht="16.75" hidden="false" customHeight="false" outlineLevel="0" collapsed="false">
      <c r="B59" s="4"/>
      <c r="C59" s="5" t="n">
        <v>38</v>
      </c>
      <c r="D59" s="0" t="n">
        <v>434.8</v>
      </c>
      <c r="E59" s="0" t="n">
        <v>436.5</v>
      </c>
      <c r="F59" s="0" t="n">
        <v>440.9</v>
      </c>
      <c r="G59" s="0" t="n">
        <v>435.5</v>
      </c>
      <c r="H59" s="0" t="n">
        <v>435.3</v>
      </c>
      <c r="I59" s="0" t="n">
        <v>435.5</v>
      </c>
      <c r="J59" s="0" t="n">
        <v>432</v>
      </c>
      <c r="K59" s="0" t="n">
        <v>436</v>
      </c>
      <c r="L59" s="0" t="n">
        <v>436.9</v>
      </c>
      <c r="M59" s="0" t="n">
        <v>433.5</v>
      </c>
      <c r="N59" s="0" t="n">
        <v>430.3</v>
      </c>
      <c r="O59" s="0" t="n">
        <v>434.2</v>
      </c>
      <c r="P59" s="0" t="n">
        <v>436.5</v>
      </c>
      <c r="Q59" s="0" t="n">
        <v>433.4</v>
      </c>
      <c r="R59" s="0" t="n">
        <v>434.1</v>
      </c>
      <c r="S59" s="0" t="n">
        <v>433.5</v>
      </c>
      <c r="T59" s="0" t="n">
        <v>430.7</v>
      </c>
      <c r="U59" s="0" t="n">
        <v>434</v>
      </c>
      <c r="V59" s="0" t="n">
        <v>436.2</v>
      </c>
      <c r="W59" s="0" t="n">
        <v>439.7</v>
      </c>
      <c r="X59" s="6" t="n">
        <f aca="false">AVERAGE(D59:W59)</f>
        <v>434.975</v>
      </c>
      <c r="Y59" s="7" t="n">
        <f aca="false">_xlfn.STDEV.S(D59:W59)</f>
        <v>2.5869866640553</v>
      </c>
      <c r="Z59" s="7" t="n">
        <f aca="false">Y59/X59</f>
        <v>0.0059474375861953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389.1</v>
      </c>
      <c r="E60" s="0" t="n">
        <v>376.3</v>
      </c>
      <c r="F60" s="0" t="n">
        <v>399.4</v>
      </c>
      <c r="G60" s="0" t="n">
        <v>389.5</v>
      </c>
      <c r="H60" s="0" t="n">
        <v>380.1</v>
      </c>
      <c r="I60" s="0" t="n">
        <v>390.2</v>
      </c>
      <c r="J60" s="0" t="n">
        <v>393.2</v>
      </c>
      <c r="K60" s="0" t="n">
        <v>394.8</v>
      </c>
      <c r="L60" s="0" t="n">
        <v>390.4</v>
      </c>
      <c r="M60" s="0" t="n">
        <v>387.6</v>
      </c>
      <c r="N60" s="0" t="n">
        <v>385.5</v>
      </c>
      <c r="O60" s="0" t="n">
        <v>385.7</v>
      </c>
      <c r="P60" s="0" t="n">
        <v>394.5</v>
      </c>
      <c r="Q60" s="0" t="n">
        <v>391.2</v>
      </c>
      <c r="R60" s="0" t="n">
        <v>380.5</v>
      </c>
      <c r="S60" s="0" t="n">
        <v>393.6</v>
      </c>
      <c r="T60" s="0" t="n">
        <v>395</v>
      </c>
      <c r="U60" s="0" t="n">
        <v>383.7</v>
      </c>
      <c r="V60" s="0" t="n">
        <v>386.2</v>
      </c>
      <c r="W60" s="0" t="n">
        <v>389</v>
      </c>
      <c r="X60" s="6" t="n">
        <f aca="false">AVERAGE(D60:W60)</f>
        <v>388.775</v>
      </c>
      <c r="Y60" s="7" t="n">
        <f aca="false">_xlfn.STDEV.S(D60:W60)</f>
        <v>5.74967962494204</v>
      </c>
      <c r="Z60" s="7" t="n">
        <f aca="false">Y60/X60</f>
        <v>0.0147892215933176</v>
      </c>
    </row>
    <row r="61" customFormat="false" ht="16.75" hidden="false" customHeight="false" outlineLevel="0" collapsed="false">
      <c r="B61" s="4"/>
      <c r="C61" s="5" t="n">
        <v>63</v>
      </c>
      <c r="D61" s="0" t="n">
        <v>396.4</v>
      </c>
      <c r="E61" s="0" t="n">
        <v>391.7</v>
      </c>
      <c r="F61" s="0" t="n">
        <v>396.7</v>
      </c>
      <c r="G61" s="0" t="n">
        <v>403.5</v>
      </c>
      <c r="H61" s="0" t="n">
        <v>392.1</v>
      </c>
      <c r="I61" s="0" t="n">
        <v>388.9</v>
      </c>
      <c r="J61" s="0" t="n">
        <v>391.1</v>
      </c>
      <c r="K61" s="0" t="n">
        <v>388.3</v>
      </c>
      <c r="L61" s="0" t="n">
        <v>394.5</v>
      </c>
      <c r="M61" s="0" t="n">
        <v>390</v>
      </c>
      <c r="N61" s="0" t="n">
        <v>387.8</v>
      </c>
      <c r="O61" s="0" t="n">
        <v>394.6</v>
      </c>
      <c r="P61" s="0" t="n">
        <v>395.3</v>
      </c>
      <c r="Q61" s="0" t="n">
        <v>387.2</v>
      </c>
      <c r="R61" s="0" t="n">
        <v>400.7</v>
      </c>
      <c r="S61" s="0" t="n">
        <v>389.3</v>
      </c>
      <c r="T61" s="0" t="n">
        <v>404.5</v>
      </c>
      <c r="U61" s="0" t="n">
        <v>399.5</v>
      </c>
      <c r="V61" s="0" t="n">
        <v>395.5</v>
      </c>
      <c r="W61" s="0" t="n">
        <v>392.7</v>
      </c>
      <c r="X61" s="6" t="n">
        <f aca="false">AVERAGE(D61:W61)</f>
        <v>394.015</v>
      </c>
      <c r="Y61" s="7" t="n">
        <f aca="false">_xlfn.STDEV.S(D61:W61)</f>
        <v>5.09646678437234</v>
      </c>
      <c r="Z61" s="7" t="n">
        <f aca="false">Y61/X61</f>
        <v>0.0129347024462834</v>
      </c>
    </row>
    <row r="62" customFormat="false" ht="16.75" hidden="false" customHeight="false" outlineLevel="0" collapsed="false">
      <c r="B62" s="4"/>
      <c r="C62" s="5" t="n">
        <v>93</v>
      </c>
      <c r="D62" s="0" t="n">
        <v>393.4</v>
      </c>
      <c r="E62" s="0" t="n">
        <v>403.7</v>
      </c>
      <c r="F62" s="0" t="n">
        <v>405.6</v>
      </c>
      <c r="G62" s="0" t="n">
        <v>398.3</v>
      </c>
      <c r="H62" s="0" t="n">
        <v>404.7</v>
      </c>
      <c r="I62" s="0" t="n">
        <v>397</v>
      </c>
      <c r="J62" s="0" t="n">
        <v>400.3</v>
      </c>
      <c r="K62" s="0" t="n">
        <v>398.6</v>
      </c>
      <c r="L62" s="0" t="n">
        <v>408.7</v>
      </c>
      <c r="M62" s="0" t="n">
        <v>399.1</v>
      </c>
      <c r="N62" s="0" t="n">
        <v>397.4</v>
      </c>
      <c r="O62" s="0" t="n">
        <v>401.6</v>
      </c>
      <c r="P62" s="0" t="n">
        <v>401.7</v>
      </c>
      <c r="Q62" s="0" t="n">
        <v>401.5</v>
      </c>
      <c r="R62" s="0" t="n">
        <v>407.2</v>
      </c>
      <c r="S62" s="0" t="n">
        <v>403.3</v>
      </c>
      <c r="T62" s="0" t="n">
        <v>398.9</v>
      </c>
      <c r="U62" s="0" t="n">
        <v>407.6</v>
      </c>
      <c r="V62" s="0" t="n">
        <v>399.4</v>
      </c>
      <c r="W62" s="0" t="n">
        <v>403.3</v>
      </c>
      <c r="X62" s="6" t="n">
        <f aca="false">AVERAGE(D62:W62)</f>
        <v>401.565</v>
      </c>
      <c r="Y62" s="7" t="n">
        <f aca="false">_xlfn.STDEV.S(D62:W62)</f>
        <v>3.97071848198257</v>
      </c>
      <c r="Z62" s="7" t="n">
        <f aca="false">Y62/X62</f>
        <v>0.00988810897857773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351.5</v>
      </c>
      <c r="E63" s="0" t="n">
        <v>346.3</v>
      </c>
      <c r="F63" s="0" t="n">
        <v>342.9</v>
      </c>
      <c r="G63" s="0" t="n">
        <v>355.3</v>
      </c>
      <c r="H63" s="0" t="n">
        <v>350.4</v>
      </c>
      <c r="I63" s="0" t="n">
        <v>346.6</v>
      </c>
      <c r="J63" s="0" t="n">
        <v>349.1</v>
      </c>
      <c r="K63" s="0" t="n">
        <v>348.4</v>
      </c>
      <c r="L63" s="0" t="n">
        <v>341.5</v>
      </c>
      <c r="M63" s="0" t="n">
        <v>348.8</v>
      </c>
      <c r="N63" s="0" t="n">
        <v>353.7</v>
      </c>
      <c r="O63" s="0" t="n">
        <v>349.3</v>
      </c>
      <c r="P63" s="0" t="n">
        <v>351.4</v>
      </c>
      <c r="Q63" s="0" t="n">
        <v>350.3</v>
      </c>
      <c r="R63" s="0" t="n">
        <v>351.9</v>
      </c>
      <c r="S63" s="0" t="n">
        <v>351.4</v>
      </c>
      <c r="T63" s="0" t="n">
        <v>343.8</v>
      </c>
      <c r="U63" s="0" t="n">
        <v>342.2</v>
      </c>
      <c r="V63" s="0" t="n">
        <v>352.8</v>
      </c>
      <c r="W63" s="0" t="n">
        <v>348.7</v>
      </c>
      <c r="X63" s="6" t="n">
        <f aca="false">AVERAGE(D63:W63)</f>
        <v>348.815</v>
      </c>
      <c r="Y63" s="7" t="n">
        <f aca="false">_xlfn.STDEV.S(D63:W63)</f>
        <v>3.87804549252652</v>
      </c>
      <c r="Z63" s="7" t="n">
        <f aca="false">Y63/X63</f>
        <v>0.0111177715766997</v>
      </c>
    </row>
    <row r="64" customFormat="false" ht="16.75" hidden="false" customHeight="false" outlineLevel="0" collapsed="false">
      <c r="B64" s="4"/>
      <c r="C64" s="5" t="n">
        <v>38</v>
      </c>
      <c r="D64" s="0" t="n">
        <v>373.6</v>
      </c>
      <c r="E64" s="0" t="n">
        <v>341</v>
      </c>
      <c r="F64" s="0" t="n">
        <v>350.2</v>
      </c>
      <c r="G64" s="0" t="n">
        <v>338.4</v>
      </c>
      <c r="H64" s="0" t="n">
        <v>345.8</v>
      </c>
      <c r="I64" s="0" t="n">
        <v>360.1</v>
      </c>
      <c r="J64" s="0" t="n">
        <v>350.4</v>
      </c>
      <c r="K64" s="0" t="n">
        <v>351</v>
      </c>
      <c r="L64" s="0" t="n">
        <v>343.8</v>
      </c>
      <c r="M64" s="0" t="n">
        <v>353.6</v>
      </c>
      <c r="N64" s="0" t="n">
        <v>343.8</v>
      </c>
      <c r="O64" s="0" t="n">
        <v>351.9</v>
      </c>
      <c r="P64" s="0" t="n">
        <v>354.7</v>
      </c>
      <c r="Q64" s="0" t="n">
        <v>341.9</v>
      </c>
      <c r="R64" s="0" t="n">
        <v>360.9</v>
      </c>
      <c r="S64" s="0" t="n">
        <v>343.9</v>
      </c>
      <c r="T64" s="0" t="n">
        <v>345.6</v>
      </c>
      <c r="U64" s="0" t="n">
        <v>342.1</v>
      </c>
      <c r="V64" s="0" t="n">
        <v>355.2</v>
      </c>
      <c r="W64" s="0" t="n">
        <v>347.1</v>
      </c>
      <c r="X64" s="6" t="n">
        <f aca="false">AVERAGE(D64:W64)</f>
        <v>349.75</v>
      </c>
      <c r="Y64" s="7" t="n">
        <f aca="false">_xlfn.STDEV.S(D64:W64)</f>
        <v>8.41836963838136</v>
      </c>
      <c r="Z64" s="7" t="n">
        <f aca="false">Y64/X64</f>
        <v>0.024069677307738</v>
      </c>
    </row>
    <row r="65" customFormat="false" ht="16.75" hidden="false" customHeight="false" outlineLevel="0" collapsed="false">
      <c r="B65" s="4"/>
      <c r="C65" s="5" t="n">
        <v>50</v>
      </c>
      <c r="D65" s="0" t="n">
        <v>346.9</v>
      </c>
      <c r="E65" s="0" t="n">
        <v>360.3</v>
      </c>
      <c r="F65" s="0" t="n">
        <v>358.1</v>
      </c>
      <c r="G65" s="0" t="n">
        <v>347.4</v>
      </c>
      <c r="H65" s="0" t="n">
        <v>346.7</v>
      </c>
      <c r="I65" s="0" t="n">
        <v>343.4</v>
      </c>
      <c r="J65" s="0" t="n">
        <v>348.6</v>
      </c>
      <c r="K65" s="0" t="n">
        <v>365.5</v>
      </c>
      <c r="L65" s="0" t="n">
        <v>351.6</v>
      </c>
      <c r="M65" s="0" t="n">
        <v>340</v>
      </c>
      <c r="N65" s="0" t="n">
        <v>340.4</v>
      </c>
      <c r="O65" s="0" t="n">
        <v>348.5</v>
      </c>
      <c r="P65" s="0" t="n">
        <v>340</v>
      </c>
      <c r="Q65" s="0" t="n">
        <v>339.3</v>
      </c>
      <c r="R65" s="0" t="n">
        <v>338</v>
      </c>
      <c r="S65" s="0" t="n">
        <v>362.1</v>
      </c>
      <c r="T65" s="0" t="n">
        <v>335</v>
      </c>
      <c r="U65" s="0" t="n">
        <v>333</v>
      </c>
      <c r="V65" s="0" t="n">
        <v>342.3</v>
      </c>
      <c r="W65" s="0" t="n">
        <v>356.5</v>
      </c>
      <c r="X65" s="6" t="n">
        <f aca="false">AVERAGE(D65:W65)</f>
        <v>347.18</v>
      </c>
      <c r="Y65" s="7" t="n">
        <f aca="false">_xlfn.STDEV.S(D65:W65)</f>
        <v>9.29938311479797</v>
      </c>
      <c r="Z65" s="7" t="n">
        <f aca="false">Y65/X65</f>
        <v>0.0267854804850451</v>
      </c>
    </row>
    <row r="66" customFormat="false" ht="16.75" hidden="false" customHeight="false" outlineLevel="0" collapsed="false">
      <c r="B66" s="4"/>
      <c r="C66" s="5" t="n">
        <v>75</v>
      </c>
      <c r="D66" s="0" t="n">
        <v>330.7</v>
      </c>
      <c r="E66" s="0" t="n">
        <v>341.4</v>
      </c>
      <c r="F66" s="0" t="n">
        <v>343.7</v>
      </c>
      <c r="G66" s="0" t="n">
        <v>330.6</v>
      </c>
      <c r="H66" s="0" t="n">
        <v>329.5</v>
      </c>
      <c r="I66" s="0" t="n">
        <v>348.5</v>
      </c>
      <c r="J66" s="0" t="n">
        <v>341.7</v>
      </c>
      <c r="K66" s="0" t="n">
        <v>331.5</v>
      </c>
      <c r="L66" s="0" t="n">
        <v>336.5</v>
      </c>
      <c r="M66" s="0" t="n">
        <v>335.1</v>
      </c>
      <c r="N66" s="0" t="n">
        <v>336.7</v>
      </c>
      <c r="O66" s="0" t="n">
        <v>350.7</v>
      </c>
      <c r="P66" s="0" t="n">
        <v>330.4</v>
      </c>
      <c r="Q66" s="0" t="n">
        <v>336.2</v>
      </c>
      <c r="R66" s="0" t="n">
        <v>348.2</v>
      </c>
      <c r="S66" s="0" t="n">
        <v>334.6</v>
      </c>
      <c r="T66" s="0" t="n">
        <v>355.7</v>
      </c>
      <c r="U66" s="0" t="n">
        <v>338.4</v>
      </c>
      <c r="V66" s="0" t="n">
        <v>330.5</v>
      </c>
      <c r="W66" s="0" t="n">
        <v>339.6</v>
      </c>
      <c r="X66" s="6" t="n">
        <f aca="false">AVERAGE(D66:W66)</f>
        <v>338.51</v>
      </c>
      <c r="Y66" s="7" t="n">
        <f aca="false">_xlfn.STDEV.S(D66:W66)</f>
        <v>7.6359192739247</v>
      </c>
      <c r="Z66" s="7" t="n">
        <f aca="false">Y66/X66</f>
        <v>0.0225574407666677</v>
      </c>
    </row>
    <row r="67" customFormat="false" ht="16.75" hidden="false" customHeight="false" outlineLevel="0" collapsed="false">
      <c r="B67" s="4"/>
      <c r="C67" s="5" t="n">
        <v>100</v>
      </c>
      <c r="D67" s="0" t="n">
        <v>346.7</v>
      </c>
      <c r="E67" s="0" t="n">
        <v>344.7</v>
      </c>
      <c r="F67" s="0" t="n">
        <v>341.1</v>
      </c>
      <c r="G67" s="0" t="n">
        <v>352.6</v>
      </c>
      <c r="H67" s="0" t="n">
        <v>339.7</v>
      </c>
      <c r="I67" s="0" t="n">
        <v>339.7</v>
      </c>
      <c r="J67" s="0" t="n">
        <v>347.5</v>
      </c>
      <c r="K67" s="0" t="n">
        <v>350.4</v>
      </c>
      <c r="L67" s="0" t="n">
        <v>346.8</v>
      </c>
      <c r="M67" s="0" t="n">
        <v>336.1</v>
      </c>
      <c r="N67" s="0" t="n">
        <v>342</v>
      </c>
      <c r="O67" s="0" t="n">
        <v>358.5</v>
      </c>
      <c r="P67" s="0" t="n">
        <v>342.4</v>
      </c>
      <c r="Q67" s="0" t="n">
        <v>339.5</v>
      </c>
      <c r="R67" s="0" t="n">
        <v>348.3</v>
      </c>
      <c r="S67" s="0" t="n">
        <v>343.8</v>
      </c>
      <c r="T67" s="0" t="n">
        <v>351.1</v>
      </c>
      <c r="U67" s="0" t="n">
        <v>345.5</v>
      </c>
      <c r="V67" s="0" t="n">
        <v>347.9</v>
      </c>
      <c r="W67" s="0" t="n">
        <v>338.2</v>
      </c>
      <c r="X67" s="6" t="n">
        <f aca="false">AVERAGE(D67:W67)</f>
        <v>345.125</v>
      </c>
      <c r="Y67" s="7" t="n">
        <f aca="false">_xlfn.STDEV.S(D67:W67)</f>
        <v>5.53637493026087</v>
      </c>
      <c r="Z67" s="7" t="n">
        <f aca="false">Y67/X67</f>
        <v>0.0160416513734469</v>
      </c>
    </row>
    <row r="68" customFormat="false" ht="16.75" hidden="false" customHeight="false" outlineLevel="0" collapsed="false">
      <c r="B68" s="4"/>
      <c r="C68" s="5" t="n">
        <v>150</v>
      </c>
      <c r="D68" s="0" t="n">
        <v>362.8</v>
      </c>
      <c r="E68" s="0" t="n">
        <v>380.4</v>
      </c>
      <c r="F68" s="0" t="n">
        <v>377.7</v>
      </c>
      <c r="G68" s="0" t="n">
        <v>371.6</v>
      </c>
      <c r="H68" s="0" t="n">
        <v>379.5</v>
      </c>
      <c r="I68" s="0" t="n">
        <v>368</v>
      </c>
      <c r="J68" s="0" t="n">
        <v>377</v>
      </c>
      <c r="K68" s="0" t="n">
        <v>361.1</v>
      </c>
      <c r="L68" s="0" t="n">
        <v>361.6</v>
      </c>
      <c r="M68" s="0" t="n">
        <v>371.3</v>
      </c>
      <c r="N68" s="0" t="n">
        <v>384</v>
      </c>
      <c r="O68" s="0" t="n">
        <v>386.1</v>
      </c>
      <c r="P68" s="0" t="n">
        <v>369.2</v>
      </c>
      <c r="Q68" s="0" t="n">
        <v>364.6</v>
      </c>
      <c r="R68" s="0" t="n">
        <v>358</v>
      </c>
      <c r="S68" s="0" t="n">
        <v>363.9</v>
      </c>
      <c r="T68" s="0" t="n">
        <v>395.8</v>
      </c>
      <c r="U68" s="0" t="n">
        <v>396</v>
      </c>
      <c r="V68" s="0" t="n">
        <v>391.3</v>
      </c>
      <c r="W68" s="0" t="n">
        <v>364</v>
      </c>
      <c r="X68" s="6" t="n">
        <f aca="false">AVERAGE(D68:W68)</f>
        <v>374.195</v>
      </c>
      <c r="Y68" s="7" t="n">
        <f aca="false">_xlfn.STDEV.S(D68:W68)</f>
        <v>11.8369392825573</v>
      </c>
      <c r="Z68" s="7" t="n">
        <f aca="false">Y68/X68</f>
        <v>0.0316330770923109</v>
      </c>
    </row>
    <row r="69" customFormat="false" ht="15" hidden="false" customHeight="false" outlineLevel="0" collapsed="false">
      <c r="A69" s="1" t="s">
        <v>34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430.1</v>
      </c>
      <c r="E74" s="0" t="n">
        <v>427.7</v>
      </c>
      <c r="F74" s="0" t="n">
        <v>428.4</v>
      </c>
      <c r="G74" s="0" t="n">
        <v>430.1</v>
      </c>
      <c r="H74" s="0" t="n">
        <v>433.2</v>
      </c>
      <c r="I74" s="0" t="n">
        <v>430.5</v>
      </c>
      <c r="J74" s="0" t="n">
        <v>438.1</v>
      </c>
      <c r="K74" s="0" t="n">
        <v>427.4</v>
      </c>
      <c r="L74" s="0" t="n">
        <v>419.3</v>
      </c>
      <c r="M74" s="0" t="n">
        <v>426.4</v>
      </c>
      <c r="N74" s="0" t="n">
        <v>416</v>
      </c>
      <c r="O74" s="0" t="n">
        <v>421.3</v>
      </c>
      <c r="P74" s="0" t="n">
        <v>430.4</v>
      </c>
      <c r="Q74" s="0" t="n">
        <v>432</v>
      </c>
      <c r="R74" s="0" t="n">
        <v>424.1</v>
      </c>
      <c r="S74" s="0" t="n">
        <v>432.3</v>
      </c>
      <c r="T74" s="0" t="n">
        <v>429.2</v>
      </c>
      <c r="U74" s="0" t="n">
        <v>434.8</v>
      </c>
      <c r="V74" s="0" t="n">
        <v>432.1</v>
      </c>
      <c r="W74" s="0" t="n">
        <v>432</v>
      </c>
      <c r="X74" s="6" t="n">
        <f aca="false">AVERAGE(D74:W74)</f>
        <v>428.77</v>
      </c>
      <c r="Y74" s="7" t="n">
        <f aca="false">_xlfn.STDEV.S(D74:W74)</f>
        <v>5.31116995734363</v>
      </c>
      <c r="Z74" s="7" t="n">
        <f aca="false">Y74/X74</f>
        <v>0.0123869905948262</v>
      </c>
    </row>
    <row r="75" customFormat="false" ht="16.75" hidden="false" customHeight="false" outlineLevel="0" collapsed="false">
      <c r="B75" s="4"/>
      <c r="C75" s="5" t="n">
        <v>25</v>
      </c>
      <c r="D75" s="0" t="n">
        <v>427</v>
      </c>
      <c r="E75" s="0" t="n">
        <v>441.7</v>
      </c>
      <c r="F75" s="0" t="n">
        <v>446.9</v>
      </c>
      <c r="G75" s="0" t="n">
        <v>430.3</v>
      </c>
      <c r="H75" s="0" t="n">
        <v>429.6</v>
      </c>
      <c r="I75" s="0" t="n">
        <v>430.9</v>
      </c>
      <c r="J75" s="0" t="n">
        <v>431.7</v>
      </c>
      <c r="K75" s="0" t="n">
        <v>427</v>
      </c>
      <c r="L75" s="0" t="n">
        <v>443</v>
      </c>
      <c r="M75" s="0" t="n">
        <v>429.7</v>
      </c>
      <c r="N75" s="0" t="n">
        <v>431.2</v>
      </c>
      <c r="O75" s="0" t="n">
        <v>431.5</v>
      </c>
      <c r="P75" s="0" t="n">
        <v>429.8</v>
      </c>
      <c r="Q75" s="0" t="n">
        <v>429.4</v>
      </c>
      <c r="R75" s="0" t="n">
        <v>430.6</v>
      </c>
      <c r="S75" s="0" t="n">
        <v>432.7</v>
      </c>
      <c r="T75" s="0" t="n">
        <v>429.9</v>
      </c>
      <c r="U75" s="0" t="n">
        <v>429.5</v>
      </c>
      <c r="V75" s="0" t="n">
        <v>428.1</v>
      </c>
      <c r="W75" s="0" t="n">
        <v>428.9</v>
      </c>
      <c r="X75" s="6" t="n">
        <f aca="false">AVERAGE(D75:W75)</f>
        <v>431.97</v>
      </c>
      <c r="Y75" s="7" t="n">
        <f aca="false">_xlfn.STDEV.S(D75:W75)</f>
        <v>5.39367075473895</v>
      </c>
      <c r="Z75" s="7" t="n">
        <f aca="false">Y75/X75</f>
        <v>0.0124862160676412</v>
      </c>
    </row>
    <row r="76" customFormat="false" ht="16.75" hidden="false" customHeight="false" outlineLevel="0" collapsed="false">
      <c r="B76" s="4"/>
      <c r="C76" s="5" t="n">
        <v>38</v>
      </c>
      <c r="D76" s="0" t="n">
        <v>427.6</v>
      </c>
      <c r="E76" s="0" t="n">
        <v>425.1</v>
      </c>
      <c r="F76" s="0" t="n">
        <v>429.6</v>
      </c>
      <c r="G76" s="0" t="n">
        <v>423.9</v>
      </c>
      <c r="H76" s="0" t="n">
        <v>428.6</v>
      </c>
      <c r="I76" s="0" t="n">
        <v>425.4</v>
      </c>
      <c r="J76" s="0" t="n">
        <v>431.8</v>
      </c>
      <c r="K76" s="0" t="n">
        <v>431.8</v>
      </c>
      <c r="L76" s="0" t="n">
        <v>425.6</v>
      </c>
      <c r="M76" s="0" t="n">
        <v>426.4</v>
      </c>
      <c r="N76" s="0" t="n">
        <v>425.4</v>
      </c>
      <c r="O76" s="0" t="n">
        <v>427.3</v>
      </c>
      <c r="P76" s="0" t="n">
        <v>425.4</v>
      </c>
      <c r="Q76" s="0" t="n">
        <v>426.1</v>
      </c>
      <c r="R76" s="0" t="n">
        <v>426.8</v>
      </c>
      <c r="S76" s="0" t="n">
        <v>425.8</v>
      </c>
      <c r="T76" s="0" t="n">
        <v>426.2</v>
      </c>
      <c r="U76" s="0" t="n">
        <v>426.9</v>
      </c>
      <c r="V76" s="0" t="n">
        <v>423.7</v>
      </c>
      <c r="W76" s="0" t="n">
        <v>424.8</v>
      </c>
      <c r="X76" s="6" t="n">
        <f aca="false">AVERAGE(D76:W76)</f>
        <v>426.71</v>
      </c>
      <c r="Y76" s="7" t="n">
        <f aca="false">_xlfn.STDEV.S(D76:W76)</f>
        <v>2.24848486997942</v>
      </c>
      <c r="Z76" s="7" t="n">
        <f aca="false">Y76/X76</f>
        <v>0.00526935124552838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390.7</v>
      </c>
      <c r="E77" s="0" t="n">
        <v>392.2</v>
      </c>
      <c r="F77" s="0" t="n">
        <v>386.2</v>
      </c>
      <c r="G77" s="0" t="n">
        <v>393.5</v>
      </c>
      <c r="H77" s="0" t="n">
        <v>389</v>
      </c>
      <c r="I77" s="0" t="n">
        <v>397.5</v>
      </c>
      <c r="J77" s="0" t="n">
        <v>393.8</v>
      </c>
      <c r="K77" s="0" t="n">
        <v>391.6</v>
      </c>
      <c r="L77" s="0" t="n">
        <v>392.9</v>
      </c>
      <c r="M77" s="0" t="n">
        <v>412.1</v>
      </c>
      <c r="N77" s="0" t="n">
        <v>391.6</v>
      </c>
      <c r="O77" s="0" t="n">
        <v>401</v>
      </c>
      <c r="P77" s="0" t="n">
        <v>387.7</v>
      </c>
      <c r="Q77" s="0" t="n">
        <v>398.2</v>
      </c>
      <c r="R77" s="0" t="n">
        <v>389.6</v>
      </c>
      <c r="S77" s="0" t="n">
        <v>386.3</v>
      </c>
      <c r="T77" s="0" t="n">
        <v>393.4</v>
      </c>
      <c r="U77" s="0" t="n">
        <v>389.4</v>
      </c>
      <c r="V77" s="0" t="n">
        <v>394.4</v>
      </c>
      <c r="W77" s="0" t="n">
        <v>388</v>
      </c>
      <c r="X77" s="6" t="n">
        <f aca="false">AVERAGE(D77:W77)</f>
        <v>392.955</v>
      </c>
      <c r="Y77" s="7" t="n">
        <f aca="false">_xlfn.STDEV.S(D77:W77)</f>
        <v>5.95451840820769</v>
      </c>
      <c r="Z77" s="7" t="n">
        <f aca="false">Y77/X77</f>
        <v>0.0151531814284274</v>
      </c>
    </row>
    <row r="78" customFormat="false" ht="16.75" hidden="false" customHeight="false" outlineLevel="0" collapsed="false">
      <c r="B78" s="4"/>
      <c r="C78" s="5" t="n">
        <v>63</v>
      </c>
      <c r="D78" s="0" t="n">
        <v>397.3</v>
      </c>
      <c r="E78" s="0" t="n">
        <v>394</v>
      </c>
      <c r="F78" s="0" t="n">
        <v>425.8</v>
      </c>
      <c r="G78" s="0" t="n">
        <v>394.2</v>
      </c>
      <c r="H78" s="0" t="n">
        <v>394.5</v>
      </c>
      <c r="I78" s="0" t="n">
        <v>394.8</v>
      </c>
      <c r="J78" s="0" t="n">
        <v>393.3</v>
      </c>
      <c r="K78" s="0" t="n">
        <v>399.1</v>
      </c>
      <c r="L78" s="0" t="n">
        <v>396</v>
      </c>
      <c r="M78" s="0" t="n">
        <v>397.1</v>
      </c>
      <c r="N78" s="0" t="n">
        <v>413</v>
      </c>
      <c r="O78" s="0" t="n">
        <v>396.7</v>
      </c>
      <c r="P78" s="0" t="n">
        <v>394.8</v>
      </c>
      <c r="Q78" s="0" t="n">
        <v>393.5</v>
      </c>
      <c r="R78" s="0" t="n">
        <v>395.9</v>
      </c>
      <c r="S78" s="0" t="n">
        <v>394.6</v>
      </c>
      <c r="T78" s="0" t="n">
        <v>394.2</v>
      </c>
      <c r="U78" s="0" t="n">
        <v>395.7</v>
      </c>
      <c r="V78" s="0" t="n">
        <v>394</v>
      </c>
      <c r="W78" s="0" t="n">
        <v>393.3</v>
      </c>
      <c r="X78" s="6" t="n">
        <f aca="false">AVERAGE(D78:W78)</f>
        <v>397.59</v>
      </c>
      <c r="Y78" s="7" t="n">
        <f aca="false">_xlfn.STDEV.S(D78:W78)</f>
        <v>7.88729157702774</v>
      </c>
      <c r="Z78" s="7" t="n">
        <f aca="false">Y78/X78</f>
        <v>0.0198377513947225</v>
      </c>
    </row>
    <row r="79" customFormat="false" ht="16.75" hidden="false" customHeight="false" outlineLevel="0" collapsed="false">
      <c r="B79" s="4"/>
      <c r="C79" s="5" t="n">
        <v>93</v>
      </c>
      <c r="D79" s="0" t="n">
        <v>406</v>
      </c>
      <c r="E79" s="0" t="n">
        <v>430.6</v>
      </c>
      <c r="F79" s="0" t="n">
        <v>410.2</v>
      </c>
      <c r="G79" s="0" t="n">
        <v>402.8</v>
      </c>
      <c r="H79" s="0" t="n">
        <v>413.2</v>
      </c>
      <c r="I79" s="0" t="n">
        <v>420</v>
      </c>
      <c r="J79" s="0" t="n">
        <v>405.5</v>
      </c>
      <c r="K79" s="0" t="n">
        <v>417.6</v>
      </c>
      <c r="L79" s="0" t="n">
        <v>407.4</v>
      </c>
      <c r="M79" s="0" t="n">
        <v>412.6</v>
      </c>
      <c r="N79" s="0" t="n">
        <v>405.5</v>
      </c>
      <c r="O79" s="0" t="n">
        <v>404</v>
      </c>
      <c r="P79" s="0" t="n">
        <v>411.5</v>
      </c>
      <c r="Q79" s="0" t="n">
        <v>405.2</v>
      </c>
      <c r="R79" s="0" t="n">
        <v>409.8</v>
      </c>
      <c r="S79" s="0" t="n">
        <v>401.4</v>
      </c>
      <c r="T79" s="0" t="n">
        <v>405.5</v>
      </c>
      <c r="U79" s="0" t="n">
        <v>406.4</v>
      </c>
      <c r="V79" s="0" t="n">
        <v>406.9</v>
      </c>
      <c r="W79" s="0" t="n">
        <v>413.8</v>
      </c>
      <c r="X79" s="6" t="n">
        <f aca="false">AVERAGE(D79:W79)</f>
        <v>409.795</v>
      </c>
      <c r="Y79" s="7" t="n">
        <f aca="false">_xlfn.STDEV.S(D79:W79)</f>
        <v>6.9052592466292</v>
      </c>
      <c r="Z79" s="7" t="n">
        <f aca="false">Y79/X79</f>
        <v>0.0168505209839778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352.7</v>
      </c>
      <c r="E80" s="0" t="n">
        <v>355.3</v>
      </c>
      <c r="F80" s="0" t="n">
        <v>355.4</v>
      </c>
      <c r="G80" s="0" t="n">
        <v>349.9</v>
      </c>
      <c r="H80" s="0" t="n">
        <v>352.4</v>
      </c>
      <c r="I80" s="0" t="n">
        <v>348.1</v>
      </c>
      <c r="J80" s="0" t="n">
        <v>368.9</v>
      </c>
      <c r="K80" s="0" t="n">
        <v>354.6</v>
      </c>
      <c r="L80" s="0" t="n">
        <v>357.5</v>
      </c>
      <c r="M80" s="0" t="n">
        <v>361.6</v>
      </c>
      <c r="N80" s="0" t="n">
        <v>350.3</v>
      </c>
      <c r="O80" s="0" t="n">
        <v>363.1</v>
      </c>
      <c r="P80" s="0" t="n">
        <v>347</v>
      </c>
      <c r="Q80" s="0" t="n">
        <v>352.3</v>
      </c>
      <c r="R80" s="0" t="n">
        <v>355.8</v>
      </c>
      <c r="S80" s="0" t="n">
        <v>350.8</v>
      </c>
      <c r="T80" s="0" t="n">
        <v>362.8</v>
      </c>
      <c r="U80" s="0" t="n">
        <v>354.1</v>
      </c>
      <c r="V80" s="0" t="n">
        <v>350.2</v>
      </c>
      <c r="W80" s="0" t="n">
        <v>362</v>
      </c>
      <c r="X80" s="6" t="n">
        <f aca="false">AVERAGE(D80:W80)</f>
        <v>355.24</v>
      </c>
      <c r="Y80" s="7" t="n">
        <f aca="false">_xlfn.STDEV.S(D80:W80)</f>
        <v>5.79885651159824</v>
      </c>
      <c r="Z80" s="7" t="n">
        <f aca="false">Y80/X80</f>
        <v>0.0163237712858863</v>
      </c>
    </row>
    <row r="81" customFormat="false" ht="16.75" hidden="false" customHeight="false" outlineLevel="0" collapsed="false">
      <c r="B81" s="4"/>
      <c r="C81" s="5" t="n">
        <v>38</v>
      </c>
      <c r="D81" s="0" t="n">
        <v>361</v>
      </c>
      <c r="E81" s="0" t="n">
        <v>366.1</v>
      </c>
      <c r="F81" s="0" t="n">
        <v>368.4</v>
      </c>
      <c r="G81" s="0" t="n">
        <v>381.6</v>
      </c>
      <c r="H81" s="0" t="n">
        <v>364.9</v>
      </c>
      <c r="I81" s="0" t="n">
        <v>366.6</v>
      </c>
      <c r="J81" s="0" t="n">
        <v>362.2</v>
      </c>
      <c r="K81" s="0" t="n">
        <v>363.9</v>
      </c>
      <c r="L81" s="0" t="n">
        <v>367</v>
      </c>
      <c r="M81" s="0" t="n">
        <v>368.1</v>
      </c>
      <c r="N81" s="0" t="n">
        <v>360</v>
      </c>
      <c r="O81" s="0" t="n">
        <v>365.1</v>
      </c>
      <c r="P81" s="0" t="n">
        <v>367.9</v>
      </c>
      <c r="Q81" s="0" t="n">
        <v>364.2</v>
      </c>
      <c r="R81" s="0" t="n">
        <v>364.7</v>
      </c>
      <c r="S81" s="0" t="n">
        <v>368.5</v>
      </c>
      <c r="T81" s="0" t="n">
        <v>363.4</v>
      </c>
      <c r="U81" s="0" t="n">
        <v>363.6</v>
      </c>
      <c r="V81" s="0" t="n">
        <v>364</v>
      </c>
      <c r="W81" s="0" t="n">
        <v>375.5</v>
      </c>
      <c r="X81" s="6" t="n">
        <f aca="false">AVERAGE(D81:W81)</f>
        <v>366.335</v>
      </c>
      <c r="Y81" s="7" t="n">
        <f aca="false">_xlfn.STDEV.S(D81:W81)</f>
        <v>4.89943874336643</v>
      </c>
      <c r="Z81" s="7" t="n">
        <f aca="false">Y81/X81</f>
        <v>0.0133742032384742</v>
      </c>
    </row>
    <row r="82" customFormat="false" ht="16.75" hidden="false" customHeight="false" outlineLevel="0" collapsed="false">
      <c r="B82" s="4"/>
      <c r="C82" s="5" t="n">
        <v>50</v>
      </c>
      <c r="D82" s="0" t="n">
        <v>359.3</v>
      </c>
      <c r="E82" s="0" t="n">
        <v>360.5</v>
      </c>
      <c r="F82" s="0" t="n">
        <v>358</v>
      </c>
      <c r="G82" s="0" t="n">
        <v>357.7</v>
      </c>
      <c r="H82" s="0" t="n">
        <v>352.4</v>
      </c>
      <c r="I82" s="0" t="n">
        <v>361.3</v>
      </c>
      <c r="J82" s="0" t="n">
        <v>356.4</v>
      </c>
      <c r="K82" s="0" t="n">
        <v>355.9</v>
      </c>
      <c r="L82" s="0" t="n">
        <v>365.4</v>
      </c>
      <c r="M82" s="0" t="n">
        <v>365.1</v>
      </c>
      <c r="N82" s="0" t="n">
        <v>356.5</v>
      </c>
      <c r="O82" s="0" t="n">
        <v>384.9</v>
      </c>
      <c r="P82" s="0" t="n">
        <v>365.8</v>
      </c>
      <c r="Q82" s="0" t="n">
        <v>361.2</v>
      </c>
      <c r="R82" s="0" t="n">
        <v>363.7</v>
      </c>
      <c r="S82" s="0" t="n">
        <v>362.9</v>
      </c>
      <c r="T82" s="0" t="n">
        <v>378.4</v>
      </c>
      <c r="U82" s="0" t="n">
        <v>354.2</v>
      </c>
      <c r="V82" s="0" t="n">
        <v>357.2</v>
      </c>
      <c r="W82" s="0" t="n">
        <v>361.1</v>
      </c>
      <c r="X82" s="6" t="n">
        <f aca="false">AVERAGE(D82:W82)</f>
        <v>361.895</v>
      </c>
      <c r="Y82" s="7" t="n">
        <f aca="false">_xlfn.STDEV.S(D82:W82)</f>
        <v>7.7909850063019</v>
      </c>
      <c r="Z82" s="7" t="n">
        <f aca="false">Y82/X82</f>
        <v>0.0215283024255707</v>
      </c>
    </row>
    <row r="83" customFormat="false" ht="16.75" hidden="false" customHeight="false" outlineLevel="0" collapsed="false">
      <c r="B83" s="4"/>
      <c r="C83" s="5" t="n">
        <v>75</v>
      </c>
      <c r="D83" s="0" t="n">
        <v>353.6</v>
      </c>
      <c r="E83" s="0" t="n">
        <v>367.6</v>
      </c>
      <c r="F83" s="0" t="n">
        <v>345</v>
      </c>
      <c r="G83" s="0" t="n">
        <v>366.3</v>
      </c>
      <c r="H83" s="0" t="n">
        <v>353.4</v>
      </c>
      <c r="I83" s="0" t="n">
        <v>357.4</v>
      </c>
      <c r="J83" s="0" t="n">
        <v>349.1</v>
      </c>
      <c r="K83" s="0" t="n">
        <v>349.9</v>
      </c>
      <c r="L83" s="0" t="n">
        <v>345</v>
      </c>
      <c r="M83" s="0" t="n">
        <v>348.5</v>
      </c>
      <c r="N83" s="0" t="n">
        <v>360.4</v>
      </c>
      <c r="O83" s="0" t="n">
        <v>372.3</v>
      </c>
      <c r="P83" s="0" t="n">
        <v>349.6</v>
      </c>
      <c r="Q83" s="0" t="n">
        <v>352</v>
      </c>
      <c r="R83" s="0" t="n">
        <v>361.7</v>
      </c>
      <c r="S83" s="0" t="n">
        <v>342.9</v>
      </c>
      <c r="T83" s="0" t="n">
        <v>357</v>
      </c>
      <c r="U83" s="0" t="n">
        <v>377.3</v>
      </c>
      <c r="V83" s="0" t="n">
        <v>343.7</v>
      </c>
      <c r="W83" s="0" t="n">
        <v>362.9</v>
      </c>
      <c r="X83" s="6" t="n">
        <f aca="false">AVERAGE(D83:W83)</f>
        <v>355.78</v>
      </c>
      <c r="Y83" s="7" t="n">
        <f aca="false">_xlfn.STDEV.S(D83:W83)</f>
        <v>9.83263095915572</v>
      </c>
      <c r="Z83" s="7" t="n">
        <f aca="false">Y83/X83</f>
        <v>0.02763682882443</v>
      </c>
    </row>
    <row r="84" customFormat="false" ht="16.75" hidden="false" customHeight="false" outlineLevel="0" collapsed="false">
      <c r="B84" s="4"/>
      <c r="C84" s="5" t="n">
        <v>100</v>
      </c>
      <c r="D84" s="0" t="n">
        <v>362.1</v>
      </c>
      <c r="E84" s="0" t="n">
        <v>359.6</v>
      </c>
      <c r="F84" s="0" t="n">
        <v>353.7</v>
      </c>
      <c r="G84" s="0" t="n">
        <v>360.9</v>
      </c>
      <c r="H84" s="0" t="n">
        <v>360.4</v>
      </c>
      <c r="I84" s="0" t="n">
        <v>362.1</v>
      </c>
      <c r="J84" s="0" t="n">
        <v>351.7</v>
      </c>
      <c r="K84" s="0" t="n">
        <v>359.7</v>
      </c>
      <c r="L84" s="0" t="n">
        <v>352.3</v>
      </c>
      <c r="M84" s="0" t="n">
        <v>350</v>
      </c>
      <c r="N84" s="0" t="n">
        <v>355.6</v>
      </c>
      <c r="O84" s="0" t="n">
        <v>387.5</v>
      </c>
      <c r="P84" s="0" t="n">
        <v>354.9</v>
      </c>
      <c r="Q84" s="0" t="n">
        <v>364.3</v>
      </c>
      <c r="R84" s="0" t="n">
        <v>359.2</v>
      </c>
      <c r="S84" s="0" t="n">
        <v>354</v>
      </c>
      <c r="T84" s="0" t="n">
        <v>357</v>
      </c>
      <c r="U84" s="0" t="n">
        <v>364.2</v>
      </c>
      <c r="V84" s="0" t="n">
        <v>364.8</v>
      </c>
      <c r="W84" s="0" t="n">
        <v>354.1</v>
      </c>
      <c r="X84" s="6" t="n">
        <f aca="false">AVERAGE(D84:W84)</f>
        <v>359.405</v>
      </c>
      <c r="Y84" s="7" t="n">
        <f aca="false">_xlfn.STDEV.S(D84:W84)</f>
        <v>7.98706025887794</v>
      </c>
      <c r="Z84" s="7" t="n">
        <f aca="false">Y84/X84</f>
        <v>0.0222230081909766</v>
      </c>
    </row>
    <row r="85" customFormat="false" ht="16.75" hidden="false" customHeight="false" outlineLevel="0" collapsed="false">
      <c r="B85" s="4"/>
      <c r="C85" s="5" t="n">
        <v>150</v>
      </c>
      <c r="D85" s="0" t="n">
        <v>390.3</v>
      </c>
      <c r="E85" s="0" t="n">
        <v>385.8</v>
      </c>
      <c r="F85" s="0" t="n">
        <v>377.4</v>
      </c>
      <c r="G85" s="0" t="n">
        <v>388.1</v>
      </c>
      <c r="H85" s="0" t="n">
        <v>384.4</v>
      </c>
      <c r="I85" s="0" t="n">
        <v>383.9</v>
      </c>
      <c r="J85" s="0" t="n">
        <v>396.3</v>
      </c>
      <c r="K85" s="0" t="n">
        <v>389</v>
      </c>
      <c r="L85" s="0" t="n">
        <v>379.1</v>
      </c>
      <c r="M85" s="0" t="n">
        <v>383.3</v>
      </c>
      <c r="N85" s="0" t="n">
        <v>406.9</v>
      </c>
      <c r="O85" s="0" t="n">
        <v>404.6</v>
      </c>
      <c r="P85" s="0" t="n">
        <v>382</v>
      </c>
      <c r="Q85" s="0" t="n">
        <v>381</v>
      </c>
      <c r="R85" s="0" t="n">
        <v>386.1</v>
      </c>
      <c r="S85" s="0" t="n">
        <v>382.1</v>
      </c>
      <c r="T85" s="0" t="n">
        <v>380</v>
      </c>
      <c r="U85" s="0" t="n">
        <v>379.3</v>
      </c>
      <c r="V85" s="0" t="n">
        <v>388.9</v>
      </c>
      <c r="W85" s="0" t="n">
        <v>382.7</v>
      </c>
      <c r="X85" s="6" t="n">
        <f aca="false">AVERAGE(D85:W85)</f>
        <v>386.56</v>
      </c>
      <c r="Y85" s="7" t="n">
        <f aca="false">_xlfn.STDEV.S(D85:W85)</f>
        <v>7.96957371903654</v>
      </c>
      <c r="Z85" s="7" t="n">
        <f aca="false">Y85/X85</f>
        <v>0.0206166538675407</v>
      </c>
    </row>
    <row r="86" customFormat="false" ht="15" hidden="false" customHeight="false" outlineLevel="0" collapsed="false">
      <c r="A86" s="1" t="s">
        <v>34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435.1</v>
      </c>
      <c r="E91" s="0" t="n">
        <v>432.7</v>
      </c>
      <c r="F91" s="0" t="n">
        <v>428.9</v>
      </c>
      <c r="G91" s="0" t="n">
        <v>434</v>
      </c>
      <c r="H91" s="0" t="n">
        <v>434.8</v>
      </c>
      <c r="I91" s="0" t="n">
        <v>435.7</v>
      </c>
      <c r="J91" s="0" t="n">
        <v>432.3</v>
      </c>
      <c r="K91" s="0" t="n">
        <v>434.9</v>
      </c>
      <c r="L91" s="0" t="n">
        <v>435.4</v>
      </c>
      <c r="M91" s="0" t="n">
        <v>433.3</v>
      </c>
      <c r="N91" s="0" t="n">
        <v>434.1</v>
      </c>
      <c r="O91" s="0" t="n">
        <v>431.8</v>
      </c>
      <c r="P91" s="0" t="n">
        <v>436</v>
      </c>
      <c r="Q91" s="0" t="n">
        <v>432.6</v>
      </c>
      <c r="R91" s="0" t="n">
        <v>431.2</v>
      </c>
      <c r="S91" s="0" t="n">
        <v>432.8</v>
      </c>
      <c r="T91" s="0" t="n">
        <v>431.5</v>
      </c>
      <c r="U91" s="0" t="n">
        <v>433.8</v>
      </c>
      <c r="V91" s="0" t="n">
        <v>437.4</v>
      </c>
      <c r="W91" s="0" t="n">
        <v>431.8</v>
      </c>
      <c r="X91" s="6" t="n">
        <f aca="false">AVERAGE(D91:W91)</f>
        <v>433.505</v>
      </c>
      <c r="Y91" s="7" t="n">
        <f aca="false">_xlfn.STDEV.S(D91:W91)</f>
        <v>2.00616812015239</v>
      </c>
      <c r="Z91" s="7" t="n">
        <f aca="false">Y91/X91</f>
        <v>0.00462778542381839</v>
      </c>
    </row>
    <row r="92" customFormat="false" ht="16.75" hidden="false" customHeight="false" outlineLevel="0" collapsed="false">
      <c r="B92" s="4"/>
      <c r="C92" s="5" t="n">
        <v>25</v>
      </c>
      <c r="D92" s="0" t="n">
        <v>433.9</v>
      </c>
      <c r="E92" s="0" t="n">
        <v>433.4</v>
      </c>
      <c r="F92" s="0" t="n">
        <v>432.8</v>
      </c>
      <c r="G92" s="0" t="n">
        <v>432.7</v>
      </c>
      <c r="H92" s="0" t="n">
        <v>431.9</v>
      </c>
      <c r="I92" s="0" t="n">
        <v>435</v>
      </c>
      <c r="J92" s="0" t="n">
        <v>434.6</v>
      </c>
      <c r="K92" s="0" t="n">
        <v>433.8</v>
      </c>
      <c r="L92" s="0" t="n">
        <v>444.1</v>
      </c>
      <c r="M92" s="0" t="n">
        <v>433</v>
      </c>
      <c r="N92" s="0" t="n">
        <v>432.3</v>
      </c>
      <c r="O92" s="0" t="n">
        <v>432.5</v>
      </c>
      <c r="P92" s="0" t="n">
        <v>433.5</v>
      </c>
      <c r="Q92" s="0" t="n">
        <v>435</v>
      </c>
      <c r="R92" s="0" t="n">
        <v>432.6</v>
      </c>
      <c r="S92" s="0" t="n">
        <v>436</v>
      </c>
      <c r="T92" s="0" t="n">
        <v>435.8</v>
      </c>
      <c r="U92" s="0" t="n">
        <v>428.5</v>
      </c>
      <c r="V92" s="0" t="n">
        <v>435.5</v>
      </c>
      <c r="W92" s="0" t="n">
        <v>432</v>
      </c>
      <c r="X92" s="6" t="n">
        <f aca="false">AVERAGE(D92:W92)</f>
        <v>433.945</v>
      </c>
      <c r="Y92" s="7" t="n">
        <f aca="false">_xlfn.STDEV.S(D92:W92)</f>
        <v>2.94108376014872</v>
      </c>
      <c r="Z92" s="7" t="n">
        <f aca="false">Y92/X92</f>
        <v>0.00677754959764192</v>
      </c>
    </row>
    <row r="93" customFormat="false" ht="16.75" hidden="false" customHeight="false" outlineLevel="0" collapsed="false">
      <c r="B93" s="4"/>
      <c r="C93" s="5" t="n">
        <v>38</v>
      </c>
      <c r="D93" s="0" t="n">
        <v>436.7</v>
      </c>
      <c r="E93" s="0" t="n">
        <v>435.1</v>
      </c>
      <c r="F93" s="0" t="n">
        <v>438.7</v>
      </c>
      <c r="G93" s="0" t="n">
        <v>448.2</v>
      </c>
      <c r="H93" s="0" t="n">
        <v>437.2</v>
      </c>
      <c r="I93" s="0" t="n">
        <v>435</v>
      </c>
      <c r="J93" s="0" t="n">
        <v>433.8</v>
      </c>
      <c r="K93" s="0" t="n">
        <v>433.3</v>
      </c>
      <c r="L93" s="0" t="n">
        <v>433.3</v>
      </c>
      <c r="M93" s="0" t="n">
        <v>434.1</v>
      </c>
      <c r="N93" s="0" t="n">
        <v>438.1</v>
      </c>
      <c r="O93" s="0" t="n">
        <v>434.6</v>
      </c>
      <c r="P93" s="0" t="n">
        <v>435.8</v>
      </c>
      <c r="Q93" s="0" t="n">
        <v>434.2</v>
      </c>
      <c r="R93" s="0" t="n">
        <v>436.1</v>
      </c>
      <c r="S93" s="0" t="n">
        <v>435.3</v>
      </c>
      <c r="T93" s="0" t="n">
        <v>433</v>
      </c>
      <c r="U93" s="0" t="n">
        <v>431.6</v>
      </c>
      <c r="V93" s="0" t="n">
        <v>439.5</v>
      </c>
      <c r="W93" s="0" t="n">
        <v>432.5</v>
      </c>
      <c r="X93" s="6" t="n">
        <f aca="false">AVERAGE(D93:W93)</f>
        <v>435.805</v>
      </c>
      <c r="Y93" s="7" t="n">
        <f aca="false">_xlfn.STDEV.S(D93:W93)</f>
        <v>3.59201966352606</v>
      </c>
      <c r="Z93" s="7" t="n">
        <f aca="false">Y93/X93</f>
        <v>0.00824226354338766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399.9</v>
      </c>
      <c r="E94" s="0" t="n">
        <v>383.2</v>
      </c>
      <c r="F94" s="0" t="n">
        <v>399.9</v>
      </c>
      <c r="G94" s="0" t="n">
        <v>376.1</v>
      </c>
      <c r="H94" s="0" t="n">
        <v>388.8</v>
      </c>
      <c r="I94" s="0" t="n">
        <v>383.6</v>
      </c>
      <c r="J94" s="0" t="n">
        <v>389.4</v>
      </c>
      <c r="K94" s="0" t="n">
        <v>388.4</v>
      </c>
      <c r="L94" s="0" t="n">
        <v>393.4</v>
      </c>
      <c r="M94" s="0" t="n">
        <v>380.5</v>
      </c>
      <c r="N94" s="0" t="n">
        <v>381.8</v>
      </c>
      <c r="O94" s="0" t="n">
        <v>386.6</v>
      </c>
      <c r="P94" s="0" t="n">
        <v>387.4</v>
      </c>
      <c r="Q94" s="0" t="n">
        <v>381.4</v>
      </c>
      <c r="R94" s="0" t="n">
        <v>380.6</v>
      </c>
      <c r="S94" s="0" t="n">
        <v>381.4</v>
      </c>
      <c r="T94" s="0" t="n">
        <v>381.7</v>
      </c>
      <c r="U94" s="0" t="n">
        <v>378.8</v>
      </c>
      <c r="V94" s="0" t="n">
        <v>382</v>
      </c>
      <c r="W94" s="0" t="n">
        <v>384.7</v>
      </c>
      <c r="X94" s="6" t="n">
        <f aca="false">AVERAGE(D94:W94)</f>
        <v>385.48</v>
      </c>
      <c r="Y94" s="7" t="n">
        <f aca="false">_xlfn.STDEV.S(D94:W94)</f>
        <v>6.41647550410167</v>
      </c>
      <c r="Z94" s="7" t="n">
        <f aca="false">Y94/X94</f>
        <v>0.0166454174123214</v>
      </c>
    </row>
    <row r="95" customFormat="false" ht="16.75" hidden="false" customHeight="false" outlineLevel="0" collapsed="false">
      <c r="B95" s="4"/>
      <c r="C95" s="5" t="n">
        <v>63</v>
      </c>
      <c r="D95" s="0" t="n">
        <v>411.8</v>
      </c>
      <c r="E95" s="0" t="n">
        <v>416.9</v>
      </c>
      <c r="F95" s="0" t="n">
        <v>419</v>
      </c>
      <c r="G95" s="0" t="n">
        <v>390.8</v>
      </c>
      <c r="H95" s="0" t="n">
        <v>418</v>
      </c>
      <c r="I95" s="0" t="n">
        <v>393.1</v>
      </c>
      <c r="J95" s="0" t="n">
        <v>404.3</v>
      </c>
      <c r="K95" s="0" t="n">
        <v>408.3</v>
      </c>
      <c r="L95" s="0" t="n">
        <v>396</v>
      </c>
      <c r="M95" s="0" t="n">
        <v>394.9</v>
      </c>
      <c r="N95" s="0" t="n">
        <v>389.3</v>
      </c>
      <c r="O95" s="0" t="n">
        <v>413.4</v>
      </c>
      <c r="P95" s="0" t="n">
        <v>410</v>
      </c>
      <c r="Q95" s="0" t="n">
        <v>395.5</v>
      </c>
      <c r="R95" s="0" t="n">
        <v>392.6</v>
      </c>
      <c r="S95" s="0" t="n">
        <v>391.3</v>
      </c>
      <c r="T95" s="0" t="n">
        <v>387.7</v>
      </c>
      <c r="U95" s="0" t="n">
        <v>410.6</v>
      </c>
      <c r="V95" s="0" t="n">
        <v>417.8</v>
      </c>
      <c r="W95" s="0" t="n">
        <v>393.1</v>
      </c>
      <c r="X95" s="6" t="n">
        <f aca="false">AVERAGE(D95:W95)</f>
        <v>402.72</v>
      </c>
      <c r="Y95" s="7" t="n">
        <f aca="false">_xlfn.STDEV.S(D95:W95)</f>
        <v>11.2305316929014</v>
      </c>
      <c r="Z95" s="7" t="n">
        <f aca="false">Y95/X95</f>
        <v>0.0278866996744672</v>
      </c>
    </row>
    <row r="96" customFormat="false" ht="16.75" hidden="false" customHeight="false" outlineLevel="0" collapsed="false">
      <c r="B96" s="4"/>
      <c r="C96" s="5" t="n">
        <v>93</v>
      </c>
      <c r="D96" s="0" t="n">
        <v>425.5</v>
      </c>
      <c r="E96" s="0" t="n">
        <v>393.3</v>
      </c>
      <c r="F96" s="0" t="n">
        <v>397.6</v>
      </c>
      <c r="G96" s="0" t="n">
        <v>397.8</v>
      </c>
      <c r="H96" s="0" t="n">
        <v>392.2</v>
      </c>
      <c r="I96" s="0" t="n">
        <v>395.4</v>
      </c>
      <c r="J96" s="0" t="n">
        <v>398.8</v>
      </c>
      <c r="K96" s="0" t="n">
        <v>400.7</v>
      </c>
      <c r="L96" s="0" t="n">
        <v>410.7</v>
      </c>
      <c r="M96" s="0" t="n">
        <v>404.5</v>
      </c>
      <c r="N96" s="0" t="n">
        <v>400.3</v>
      </c>
      <c r="O96" s="0" t="n">
        <v>414.6</v>
      </c>
      <c r="P96" s="0" t="n">
        <v>393.9</v>
      </c>
      <c r="Q96" s="0" t="n">
        <v>402.1</v>
      </c>
      <c r="R96" s="0" t="n">
        <v>398.8</v>
      </c>
      <c r="S96" s="0" t="n">
        <v>427.7</v>
      </c>
      <c r="T96" s="0" t="n">
        <v>397.3</v>
      </c>
      <c r="U96" s="0" t="n">
        <v>395.8</v>
      </c>
      <c r="V96" s="0" t="n">
        <v>404.4</v>
      </c>
      <c r="W96" s="0" t="n">
        <v>420.4</v>
      </c>
      <c r="X96" s="6" t="n">
        <f aca="false">AVERAGE(D96:W96)</f>
        <v>403.59</v>
      </c>
      <c r="Y96" s="7" t="n">
        <f aca="false">_xlfn.STDEV.S(D96:W96)</f>
        <v>10.6392965735028</v>
      </c>
      <c r="Z96" s="7" t="n">
        <f aca="false">Y96/X96</f>
        <v>0.0263616456639232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351.8</v>
      </c>
      <c r="E97" s="0" t="n">
        <v>346.9</v>
      </c>
      <c r="F97" s="0" t="n">
        <v>360.7</v>
      </c>
      <c r="G97" s="0" t="n">
        <v>363.3</v>
      </c>
      <c r="H97" s="0" t="n">
        <v>352.5</v>
      </c>
      <c r="I97" s="0" t="n">
        <v>368.4</v>
      </c>
      <c r="J97" s="0" t="n">
        <v>354.6</v>
      </c>
      <c r="K97" s="0" t="n">
        <v>359.9</v>
      </c>
      <c r="L97" s="0" t="n">
        <v>367.1</v>
      </c>
      <c r="M97" s="0" t="n">
        <v>347.2</v>
      </c>
      <c r="N97" s="0" t="n">
        <v>363.2</v>
      </c>
      <c r="O97" s="0" t="n">
        <v>361.1</v>
      </c>
      <c r="P97" s="0" t="n">
        <v>351</v>
      </c>
      <c r="Q97" s="0" t="n">
        <v>343.4</v>
      </c>
      <c r="R97" s="0" t="n">
        <v>363.5</v>
      </c>
      <c r="S97" s="0" t="n">
        <v>352.4</v>
      </c>
      <c r="T97" s="0" t="n">
        <v>368.2</v>
      </c>
      <c r="U97" s="0" t="n">
        <v>360.8</v>
      </c>
      <c r="V97" s="0" t="n">
        <v>352.5</v>
      </c>
      <c r="W97" s="0" t="n">
        <v>349.3</v>
      </c>
      <c r="X97" s="6" t="n">
        <f aca="false">AVERAGE(D97:W97)</f>
        <v>356.89</v>
      </c>
      <c r="Y97" s="7" t="n">
        <f aca="false">_xlfn.STDEV.S(D97:W97)</f>
        <v>7.62150005956142</v>
      </c>
      <c r="Z97" s="7" t="n">
        <f aca="false">Y97/X97</f>
        <v>0.0213553197331431</v>
      </c>
    </row>
    <row r="98" customFormat="false" ht="16.75" hidden="false" customHeight="false" outlineLevel="0" collapsed="false">
      <c r="B98" s="4"/>
      <c r="C98" s="5" t="n">
        <v>38</v>
      </c>
      <c r="D98" s="0" t="n">
        <v>358.5</v>
      </c>
      <c r="E98" s="0" t="n">
        <v>366.6</v>
      </c>
      <c r="F98" s="0" t="n">
        <v>357.6</v>
      </c>
      <c r="G98" s="0" t="n">
        <v>352</v>
      </c>
      <c r="H98" s="0" t="n">
        <v>350</v>
      </c>
      <c r="I98" s="0" t="n">
        <v>353.5</v>
      </c>
      <c r="J98" s="0" t="n">
        <v>358.1</v>
      </c>
      <c r="K98" s="0" t="n">
        <v>355.7</v>
      </c>
      <c r="L98" s="0" t="n">
        <v>367</v>
      </c>
      <c r="M98" s="0" t="n">
        <v>373.9</v>
      </c>
      <c r="N98" s="0" t="n">
        <v>354.1</v>
      </c>
      <c r="O98" s="0" t="n">
        <v>355.2</v>
      </c>
      <c r="P98" s="0" t="n">
        <v>385.2</v>
      </c>
      <c r="Q98" s="0" t="n">
        <v>387.5</v>
      </c>
      <c r="R98" s="0" t="n">
        <v>352.8</v>
      </c>
      <c r="S98" s="0" t="n">
        <v>375.7</v>
      </c>
      <c r="T98" s="0" t="n">
        <v>360</v>
      </c>
      <c r="U98" s="0" t="n">
        <v>354.2</v>
      </c>
      <c r="V98" s="0" t="n">
        <v>359.5</v>
      </c>
      <c r="W98" s="0" t="n">
        <v>369.3</v>
      </c>
      <c r="X98" s="6" t="n">
        <f aca="false">AVERAGE(D98:W98)</f>
        <v>362.32</v>
      </c>
      <c r="Y98" s="7" t="n">
        <f aca="false">_xlfn.STDEV.S(D98:W98)</f>
        <v>10.960051863112</v>
      </c>
      <c r="Z98" s="7" t="n">
        <f aca="false">Y98/X98</f>
        <v>0.0302496463433209</v>
      </c>
    </row>
    <row r="99" customFormat="false" ht="16.75" hidden="false" customHeight="false" outlineLevel="0" collapsed="false">
      <c r="B99" s="4"/>
      <c r="C99" s="5" t="n">
        <v>50</v>
      </c>
      <c r="D99" s="0" t="n">
        <v>351.6</v>
      </c>
      <c r="E99" s="0" t="n">
        <v>361.2</v>
      </c>
      <c r="F99" s="0" t="n">
        <v>367.5</v>
      </c>
      <c r="G99" s="0" t="n">
        <v>353.7</v>
      </c>
      <c r="H99" s="0" t="n">
        <v>377.8</v>
      </c>
      <c r="I99" s="0" t="n">
        <v>366.3</v>
      </c>
      <c r="J99" s="0" t="n">
        <v>366.9</v>
      </c>
      <c r="K99" s="0" t="n">
        <v>353.7</v>
      </c>
      <c r="L99" s="0" t="n">
        <v>362.2</v>
      </c>
      <c r="M99" s="0" t="n">
        <v>349</v>
      </c>
      <c r="N99" s="0" t="n">
        <v>374.6</v>
      </c>
      <c r="O99" s="0" t="n">
        <v>380.5</v>
      </c>
      <c r="P99" s="0" t="n">
        <v>354.6</v>
      </c>
      <c r="Q99" s="0" t="n">
        <v>370.7</v>
      </c>
      <c r="R99" s="0" t="n">
        <v>346.5</v>
      </c>
      <c r="S99" s="0" t="n">
        <v>370</v>
      </c>
      <c r="T99" s="0" t="n">
        <v>351.9</v>
      </c>
      <c r="U99" s="0" t="n">
        <v>352.2</v>
      </c>
      <c r="V99" s="0" t="n">
        <v>386.9</v>
      </c>
      <c r="W99" s="0" t="n">
        <v>370.2</v>
      </c>
      <c r="X99" s="6" t="n">
        <f aca="false">AVERAGE(D99:W99)</f>
        <v>363.4</v>
      </c>
      <c r="Y99" s="7" t="n">
        <f aca="false">_xlfn.STDEV.S(D99:W99)</f>
        <v>11.5161671255309</v>
      </c>
      <c r="Z99" s="7" t="n">
        <f aca="false">Y99/X99</f>
        <v>0.0316900581329963</v>
      </c>
    </row>
    <row r="100" customFormat="false" ht="16.75" hidden="false" customHeight="false" outlineLevel="0" collapsed="false">
      <c r="B100" s="4"/>
      <c r="C100" s="5" t="n">
        <v>75</v>
      </c>
      <c r="D100" s="0" t="n">
        <v>339.2</v>
      </c>
      <c r="E100" s="0" t="n">
        <v>352.9</v>
      </c>
      <c r="F100" s="0" t="n">
        <v>341.8</v>
      </c>
      <c r="G100" s="0" t="n">
        <v>332.9</v>
      </c>
      <c r="H100" s="0" t="n">
        <v>337.7</v>
      </c>
      <c r="I100" s="0" t="n">
        <v>333</v>
      </c>
      <c r="J100" s="0" t="n">
        <v>339.5</v>
      </c>
      <c r="K100" s="0" t="n">
        <v>342.4</v>
      </c>
      <c r="L100" s="0" t="n">
        <v>327.7</v>
      </c>
      <c r="M100" s="0" t="n">
        <v>332.3</v>
      </c>
      <c r="N100" s="0" t="n">
        <v>330.2</v>
      </c>
      <c r="O100" s="0" t="n">
        <v>350.7</v>
      </c>
      <c r="P100" s="0" t="n">
        <v>340.7</v>
      </c>
      <c r="Q100" s="0" t="n">
        <v>338.5</v>
      </c>
      <c r="R100" s="0" t="n">
        <v>335.4</v>
      </c>
      <c r="S100" s="0" t="n">
        <v>335.6</v>
      </c>
      <c r="T100" s="0" t="n">
        <v>343</v>
      </c>
      <c r="U100" s="0" t="n">
        <v>332.4</v>
      </c>
      <c r="V100" s="0" t="n">
        <v>349</v>
      </c>
      <c r="W100" s="0" t="n">
        <v>338.7</v>
      </c>
      <c r="X100" s="6" t="n">
        <f aca="false">AVERAGE(D100:W100)</f>
        <v>338.68</v>
      </c>
      <c r="Y100" s="7" t="n">
        <f aca="false">_xlfn.STDEV.S(D100:W100)</f>
        <v>6.72768044800928</v>
      </c>
      <c r="Z100" s="7" t="n">
        <f aca="false">Y100/X100</f>
        <v>0.0198644161096294</v>
      </c>
    </row>
    <row r="101" customFormat="false" ht="16.75" hidden="false" customHeight="false" outlineLevel="0" collapsed="false">
      <c r="B101" s="4"/>
      <c r="C101" s="5" t="n">
        <v>100</v>
      </c>
      <c r="D101" s="0" t="n">
        <v>352</v>
      </c>
      <c r="E101" s="0" t="n">
        <v>359</v>
      </c>
      <c r="F101" s="0" t="n">
        <v>359</v>
      </c>
      <c r="G101" s="0" t="n">
        <v>338</v>
      </c>
      <c r="H101" s="0" t="n">
        <v>334</v>
      </c>
      <c r="I101" s="0" t="n">
        <v>337</v>
      </c>
      <c r="J101" s="0" t="n">
        <v>357</v>
      </c>
      <c r="K101" s="0" t="n">
        <v>340</v>
      </c>
      <c r="L101" s="0" t="n">
        <v>349</v>
      </c>
      <c r="M101" s="0" t="n">
        <v>348</v>
      </c>
      <c r="N101" s="0" t="n">
        <v>343</v>
      </c>
      <c r="O101" s="0" t="n">
        <v>346</v>
      </c>
      <c r="P101" s="0" t="n">
        <v>339</v>
      </c>
      <c r="Q101" s="0" t="n">
        <v>336</v>
      </c>
      <c r="R101" s="0" t="n">
        <v>333</v>
      </c>
      <c r="S101" s="0" t="n">
        <v>337</v>
      </c>
      <c r="T101" s="0" t="n">
        <v>341</v>
      </c>
      <c r="U101" s="0" t="n">
        <v>338</v>
      </c>
      <c r="V101" s="0" t="n">
        <v>340</v>
      </c>
      <c r="W101" s="0" t="n">
        <v>350</v>
      </c>
      <c r="X101" s="6" t="n">
        <f aca="false">AVERAGE(D101:W101)</f>
        <v>343.8</v>
      </c>
      <c r="Y101" s="7" t="n">
        <f aca="false">_xlfn.STDEV.S(D101:W101)</f>
        <v>8.22448206655944</v>
      </c>
      <c r="Z101" s="7" t="n">
        <f aca="false">Y101/X101</f>
        <v>0.0239222864065138</v>
      </c>
    </row>
    <row r="102" customFormat="false" ht="16.75" hidden="false" customHeight="false" outlineLevel="0" collapsed="false">
      <c r="B102" s="4"/>
      <c r="C102" s="5" t="n">
        <v>150</v>
      </c>
      <c r="D102" s="0" t="n">
        <v>365.6</v>
      </c>
      <c r="E102" s="0" t="n">
        <v>375.8</v>
      </c>
      <c r="F102" s="0" t="n">
        <v>364.6</v>
      </c>
      <c r="G102" s="0" t="n">
        <v>367.1</v>
      </c>
      <c r="H102" s="0" t="n">
        <v>383.9</v>
      </c>
      <c r="I102" s="0" t="n">
        <v>368.7</v>
      </c>
      <c r="J102" s="0" t="n">
        <v>374.9</v>
      </c>
      <c r="K102" s="0" t="n">
        <v>377</v>
      </c>
      <c r="L102" s="0" t="n">
        <v>437.6</v>
      </c>
      <c r="M102" s="0" t="n">
        <v>368.5</v>
      </c>
      <c r="N102" s="0" t="n">
        <v>398.2</v>
      </c>
      <c r="O102" s="0" t="n">
        <v>364.3</v>
      </c>
      <c r="P102" s="0" t="n">
        <v>386.6</v>
      </c>
      <c r="Q102" s="0" t="n">
        <v>376.8</v>
      </c>
      <c r="R102" s="0" t="n">
        <v>388</v>
      </c>
      <c r="S102" s="0" t="n">
        <v>366.4</v>
      </c>
      <c r="T102" s="0" t="n">
        <v>369</v>
      </c>
      <c r="U102" s="0" t="n">
        <v>386.3</v>
      </c>
      <c r="V102" s="0" t="n">
        <v>362.9</v>
      </c>
      <c r="W102" s="0" t="n">
        <v>369.5</v>
      </c>
      <c r="X102" s="6" t="n">
        <f aca="false">AVERAGE(D102:W102)</f>
        <v>377.585</v>
      </c>
      <c r="Y102" s="7" t="n">
        <f aca="false">_xlfn.STDEV.S(D102:W102)</f>
        <v>17.1428756108923</v>
      </c>
      <c r="Z102" s="7" t="n">
        <f aca="false">Y102/X102</f>
        <v>0.045401368197604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57" activeCellId="0" sqref="X57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36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398.1</v>
      </c>
      <c r="E6" s="0" t="n">
        <v>396.5</v>
      </c>
      <c r="F6" s="0" t="n">
        <v>400</v>
      </c>
      <c r="G6" s="0" t="n">
        <v>398.6</v>
      </c>
      <c r="H6" s="0" t="n">
        <v>397.2</v>
      </c>
      <c r="I6" s="0" t="n">
        <v>398.8</v>
      </c>
      <c r="J6" s="0" t="n">
        <v>398.2</v>
      </c>
      <c r="K6" s="0" t="n">
        <v>397</v>
      </c>
      <c r="L6" s="0" t="n">
        <v>398.7</v>
      </c>
      <c r="M6" s="0" t="n">
        <v>400.6</v>
      </c>
      <c r="N6" s="0" t="n">
        <v>392.6</v>
      </c>
      <c r="O6" s="0" t="n">
        <v>397.5</v>
      </c>
      <c r="P6" s="0" t="n">
        <v>396.8</v>
      </c>
      <c r="Q6" s="0" t="n">
        <v>399.6</v>
      </c>
      <c r="R6" s="0" t="n">
        <v>397</v>
      </c>
      <c r="S6" s="0" t="n">
        <v>395.6</v>
      </c>
      <c r="T6" s="0" t="n">
        <v>393.1</v>
      </c>
      <c r="U6" s="0" t="n">
        <v>386.9</v>
      </c>
      <c r="V6" s="0" t="n">
        <v>398.9</v>
      </c>
      <c r="W6" s="0" t="n">
        <v>403.6</v>
      </c>
      <c r="X6" s="6" t="n">
        <f aca="false">AVERAGE(D6:W6)</f>
        <v>397.265</v>
      </c>
      <c r="Y6" s="7" t="n">
        <f aca="false">_xlfn.STDEV.S(D6:W6)</f>
        <v>3.44081921090099</v>
      </c>
      <c r="Z6" s="7" t="n">
        <f aca="false">Y6/X6</f>
        <v>0.00866126945716584</v>
      </c>
    </row>
    <row r="7" customFormat="false" ht="16.75" hidden="false" customHeight="false" outlineLevel="0" collapsed="false">
      <c r="B7" s="4"/>
      <c r="C7" s="5" t="n">
        <v>25</v>
      </c>
      <c r="D7" s="0" t="n">
        <v>410.6</v>
      </c>
      <c r="E7" s="0" t="n">
        <v>402.6</v>
      </c>
      <c r="F7" s="0" t="n">
        <v>399.1</v>
      </c>
      <c r="G7" s="0" t="n">
        <v>400.2</v>
      </c>
      <c r="H7" s="0" t="n">
        <v>395.9</v>
      </c>
      <c r="I7" s="0" t="n">
        <v>402.2</v>
      </c>
      <c r="J7" s="0" t="n">
        <v>400.2</v>
      </c>
      <c r="K7" s="0" t="n">
        <v>399.8</v>
      </c>
      <c r="L7" s="0" t="n">
        <v>400.8</v>
      </c>
      <c r="M7" s="0" t="n">
        <v>397.6</v>
      </c>
      <c r="N7" s="0" t="n">
        <v>399.2</v>
      </c>
      <c r="O7" s="0" t="n">
        <v>399.6</v>
      </c>
      <c r="P7" s="0" t="n">
        <v>402.8</v>
      </c>
      <c r="Q7" s="0" t="n">
        <v>403.6</v>
      </c>
      <c r="R7" s="0" t="n">
        <v>400.6</v>
      </c>
      <c r="S7" s="0" t="n">
        <v>403.1</v>
      </c>
      <c r="T7" s="0" t="n">
        <v>399.7</v>
      </c>
      <c r="U7" s="0" t="n">
        <v>400.3</v>
      </c>
      <c r="V7" s="0" t="n">
        <v>398.9</v>
      </c>
      <c r="W7" s="0" t="n">
        <v>416.7</v>
      </c>
      <c r="X7" s="6" t="n">
        <f aca="false">AVERAGE(D7:W7)</f>
        <v>401.675</v>
      </c>
      <c r="Y7" s="7" t="n">
        <f aca="false">_xlfn.STDEV.S(D7:W7)</f>
        <v>4.6102717125087</v>
      </c>
      <c r="Z7" s="7" t="n">
        <f aca="false">Y7/X7</f>
        <v>0.0114776167610847</v>
      </c>
    </row>
    <row r="8" customFormat="false" ht="16.75" hidden="false" customHeight="false" outlineLevel="0" collapsed="false">
      <c r="B8" s="4"/>
      <c r="C8" s="5" t="n">
        <v>38</v>
      </c>
      <c r="D8" s="0" t="n">
        <v>398.7</v>
      </c>
      <c r="E8" s="0" t="n">
        <v>401.8</v>
      </c>
      <c r="F8" s="0" t="n">
        <v>398.1</v>
      </c>
      <c r="G8" s="0" t="n">
        <v>401</v>
      </c>
      <c r="H8" s="0" t="n">
        <v>398.2</v>
      </c>
      <c r="I8" s="0" t="n">
        <v>401.6</v>
      </c>
      <c r="J8" s="0" t="n">
        <v>402.3</v>
      </c>
      <c r="K8" s="0" t="n">
        <v>395</v>
      </c>
      <c r="L8" s="0" t="n">
        <v>395.6</v>
      </c>
      <c r="M8" s="0" t="n">
        <v>399.1</v>
      </c>
      <c r="N8" s="0" t="n">
        <v>398.4</v>
      </c>
      <c r="O8" s="0" t="n">
        <v>398.5</v>
      </c>
      <c r="P8" s="0" t="n">
        <v>399.4</v>
      </c>
      <c r="Q8" s="0" t="n">
        <v>398.9</v>
      </c>
      <c r="R8" s="0" t="n">
        <v>394.8</v>
      </c>
      <c r="S8" s="0" t="n">
        <v>403.6</v>
      </c>
      <c r="T8" s="0" t="n">
        <v>395.7</v>
      </c>
      <c r="U8" s="0" t="n">
        <v>393.3</v>
      </c>
      <c r="V8" s="0" t="n">
        <v>397.1</v>
      </c>
      <c r="W8" s="0" t="n">
        <v>397.8</v>
      </c>
      <c r="X8" s="6" t="n">
        <f aca="false">AVERAGE(D8:W8)</f>
        <v>398.445</v>
      </c>
      <c r="Y8" s="7" t="n">
        <f aca="false">_xlfn.STDEV.S(D8:W8)</f>
        <v>2.71883779350082</v>
      </c>
      <c r="Z8" s="7" t="n">
        <f aca="false">Y8/X8</f>
        <v>0.00682362131160091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401.1</v>
      </c>
      <c r="E9" s="0" t="n">
        <v>376.9</v>
      </c>
      <c r="F9" s="0" t="n">
        <v>371</v>
      </c>
      <c r="G9" s="0" t="n">
        <v>368.6</v>
      </c>
      <c r="H9" s="0" t="n">
        <v>370.2</v>
      </c>
      <c r="I9" s="0" t="n">
        <v>371.7</v>
      </c>
      <c r="J9" s="0" t="n">
        <v>396.6</v>
      </c>
      <c r="K9" s="0" t="n">
        <v>375</v>
      </c>
      <c r="L9" s="0" t="n">
        <v>373.2</v>
      </c>
      <c r="M9" s="0" t="n">
        <v>376.1</v>
      </c>
      <c r="N9" s="0" t="n">
        <v>360.9</v>
      </c>
      <c r="O9" s="0" t="n">
        <v>360.7</v>
      </c>
      <c r="P9" s="0" t="n">
        <v>365.7</v>
      </c>
      <c r="Q9" s="0" t="n">
        <v>375.1</v>
      </c>
      <c r="R9" s="0" t="n">
        <v>363.8</v>
      </c>
      <c r="S9" s="0" t="n">
        <v>376.2</v>
      </c>
      <c r="T9" s="0" t="n">
        <v>369</v>
      </c>
      <c r="U9" s="0" t="n">
        <v>378.9</v>
      </c>
      <c r="V9" s="0" t="n">
        <v>389.8</v>
      </c>
      <c r="W9" s="0" t="n">
        <v>366.7</v>
      </c>
      <c r="X9" s="6" t="n">
        <f aca="false">AVERAGE(D9:W9)</f>
        <v>374.36</v>
      </c>
      <c r="Y9" s="7" t="n">
        <f aca="false">_xlfn.STDEV.S(D9:W9)</f>
        <v>10.7467204299731</v>
      </c>
      <c r="Z9" s="7" t="n">
        <f aca="false">Y9/X9</f>
        <v>0.0287069142802999</v>
      </c>
    </row>
    <row r="10" customFormat="false" ht="16.75" hidden="false" customHeight="false" outlineLevel="0" collapsed="false">
      <c r="B10" s="4"/>
      <c r="C10" s="5" t="n">
        <v>63</v>
      </c>
      <c r="D10" s="0" t="n">
        <v>384.9</v>
      </c>
      <c r="E10" s="0" t="n">
        <v>384.6</v>
      </c>
      <c r="F10" s="0" t="n">
        <v>378.9</v>
      </c>
      <c r="G10" s="0" t="n">
        <v>380.9</v>
      </c>
      <c r="H10" s="0" t="n">
        <v>382.8</v>
      </c>
      <c r="I10" s="0" t="n">
        <v>382</v>
      </c>
      <c r="J10" s="0" t="n">
        <v>380.8</v>
      </c>
      <c r="K10" s="0" t="n">
        <v>384.2</v>
      </c>
      <c r="L10" s="0" t="n">
        <v>400</v>
      </c>
      <c r="M10" s="0" t="n">
        <v>379.3</v>
      </c>
      <c r="N10" s="0" t="n">
        <v>384.1</v>
      </c>
      <c r="O10" s="0" t="n">
        <v>377</v>
      </c>
      <c r="P10" s="0" t="n">
        <v>378.4</v>
      </c>
      <c r="Q10" s="0" t="n">
        <v>382.1</v>
      </c>
      <c r="R10" s="0" t="n">
        <v>386.5</v>
      </c>
      <c r="S10" s="0" t="n">
        <v>383.6</v>
      </c>
      <c r="T10" s="0" t="n">
        <v>399.3</v>
      </c>
      <c r="U10" s="0" t="n">
        <v>377</v>
      </c>
      <c r="V10" s="0" t="n">
        <v>380.9</v>
      </c>
      <c r="W10" s="0" t="n">
        <v>379.9</v>
      </c>
      <c r="X10" s="6" t="n">
        <f aca="false">AVERAGE(D10:W10)</f>
        <v>383.36</v>
      </c>
      <c r="Y10" s="7" t="n">
        <f aca="false">_xlfn.STDEV.S(D10:W10)</f>
        <v>6.1657287100809</v>
      </c>
      <c r="Z10" s="7" t="n">
        <f aca="false">Y10/X10</f>
        <v>0.0160833908338922</v>
      </c>
    </row>
    <row r="11" customFormat="false" ht="16.75" hidden="false" customHeight="false" outlineLevel="0" collapsed="false">
      <c r="B11" s="4"/>
      <c r="C11" s="5" t="n">
        <v>93</v>
      </c>
      <c r="D11" s="0" t="n">
        <v>391.3</v>
      </c>
      <c r="E11" s="0" t="n">
        <v>330.8</v>
      </c>
      <c r="F11" s="0" t="n">
        <v>362.9</v>
      </c>
      <c r="G11" s="0" t="n">
        <v>387.1</v>
      </c>
      <c r="H11" s="0" t="n">
        <v>364.7</v>
      </c>
      <c r="I11" s="0" t="n">
        <v>390.5</v>
      </c>
      <c r="J11" s="0" t="n">
        <v>390.1</v>
      </c>
      <c r="K11" s="0" t="n">
        <v>378.1</v>
      </c>
      <c r="L11" s="0" t="n">
        <v>384.9</v>
      </c>
      <c r="M11" s="0" t="n">
        <v>370.9</v>
      </c>
      <c r="N11" s="0" t="n">
        <v>373.5</v>
      </c>
      <c r="O11" s="0" t="n">
        <v>390.4</v>
      </c>
      <c r="P11" s="0" t="n">
        <v>397.9</v>
      </c>
      <c r="Q11" s="0" t="n">
        <v>359</v>
      </c>
      <c r="R11" s="0" t="n">
        <v>338</v>
      </c>
      <c r="S11" s="0" t="n">
        <v>387.9</v>
      </c>
      <c r="T11" s="0" t="n">
        <v>373.8</v>
      </c>
      <c r="U11" s="0" t="n">
        <v>388.4</v>
      </c>
      <c r="V11" s="0" t="n">
        <v>385.9</v>
      </c>
      <c r="W11" s="0" t="n">
        <v>350.6</v>
      </c>
      <c r="X11" s="6" t="n">
        <f aca="false">AVERAGE(D11:W11)</f>
        <v>374.835</v>
      </c>
      <c r="Y11" s="7" t="n">
        <f aca="false">_xlfn.STDEV.S(D11:W11)</f>
        <v>18.723452082742</v>
      </c>
      <c r="Z11" s="7" t="n">
        <f aca="false">Y11/X11</f>
        <v>0.0499511840749717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350.8</v>
      </c>
      <c r="E12" s="0" t="n">
        <v>281.5</v>
      </c>
      <c r="F12" s="0" t="n">
        <v>340</v>
      </c>
      <c r="G12" s="0" t="n">
        <v>327</v>
      </c>
      <c r="H12" s="0" t="n">
        <v>357.3</v>
      </c>
      <c r="I12" s="0" t="n">
        <v>309.1</v>
      </c>
      <c r="J12" s="0" t="n">
        <v>232.5</v>
      </c>
      <c r="K12" s="0" t="n">
        <v>322.7</v>
      </c>
      <c r="L12" s="0" t="n">
        <v>291.7</v>
      </c>
      <c r="M12" s="0" t="n">
        <v>253.4</v>
      </c>
      <c r="N12" s="0" t="n">
        <v>278.1</v>
      </c>
      <c r="O12" s="0" t="n">
        <v>323.8</v>
      </c>
      <c r="P12" s="0" t="n">
        <v>268.4</v>
      </c>
      <c r="Q12" s="0" t="n">
        <v>306</v>
      </c>
      <c r="R12" s="0" t="n">
        <v>324.7</v>
      </c>
      <c r="S12" s="0" t="n">
        <v>331.7</v>
      </c>
      <c r="T12" s="0" t="n">
        <v>339.4</v>
      </c>
      <c r="U12" s="0" t="n">
        <v>278.6</v>
      </c>
      <c r="V12" s="0" t="n">
        <v>304.1</v>
      </c>
      <c r="W12" s="0" t="n">
        <v>311.7</v>
      </c>
      <c r="X12" s="6" t="n">
        <f aca="false">AVERAGE(D12:W12)</f>
        <v>306.625</v>
      </c>
      <c r="Y12" s="7" t="n">
        <f aca="false">_xlfn.STDEV.S(D12:W12)</f>
        <v>33.175591455482</v>
      </c>
      <c r="Z12" s="7" t="n">
        <f aca="false">Y12/X12</f>
        <v>0.108195977025624</v>
      </c>
    </row>
    <row r="13" customFormat="false" ht="16.75" hidden="false" customHeight="false" outlineLevel="0" collapsed="false">
      <c r="B13" s="4"/>
      <c r="C13" s="5" t="n">
        <v>38</v>
      </c>
      <c r="D13" s="0" t="n">
        <v>357</v>
      </c>
      <c r="E13" s="0" t="n">
        <v>338.6</v>
      </c>
      <c r="F13" s="0" t="n">
        <v>354.8</v>
      </c>
      <c r="G13" s="0" t="n">
        <v>352.6</v>
      </c>
      <c r="H13" s="0" t="n">
        <v>344.1</v>
      </c>
      <c r="I13" s="0" t="n">
        <v>342.9</v>
      </c>
      <c r="J13" s="0" t="n">
        <v>350</v>
      </c>
      <c r="K13" s="0" t="n">
        <v>354.5</v>
      </c>
      <c r="L13" s="0" t="n">
        <v>349.9</v>
      </c>
      <c r="M13" s="0" t="n">
        <v>350.3</v>
      </c>
      <c r="N13" s="0" t="n">
        <v>351.6</v>
      </c>
      <c r="O13" s="0" t="n">
        <v>347.3</v>
      </c>
      <c r="P13" s="0" t="n">
        <v>346.6</v>
      </c>
      <c r="Q13" s="0" t="n">
        <v>347.5</v>
      </c>
      <c r="R13" s="0" t="n">
        <v>383.8</v>
      </c>
      <c r="S13" s="0" t="n">
        <v>350.5</v>
      </c>
      <c r="T13" s="0" t="n">
        <v>339.4</v>
      </c>
      <c r="U13" s="0" t="n">
        <v>351</v>
      </c>
      <c r="V13" s="0" t="n">
        <v>355.7</v>
      </c>
      <c r="W13" s="0" t="n">
        <v>352</v>
      </c>
      <c r="X13" s="6" t="n">
        <f aca="false">AVERAGE(D13:W13)</f>
        <v>351.005</v>
      </c>
      <c r="Y13" s="7" t="n">
        <f aca="false">_xlfn.STDEV.S(D13:W13)</f>
        <v>9.21763041818861</v>
      </c>
      <c r="Z13" s="7" t="n">
        <f aca="false">Y13/X13</f>
        <v>0.0262606812386963</v>
      </c>
    </row>
    <row r="14" customFormat="false" ht="16.75" hidden="false" customHeight="false" outlineLevel="0" collapsed="false">
      <c r="B14" s="4"/>
      <c r="C14" s="5" t="n">
        <v>50</v>
      </c>
      <c r="D14" s="0" t="n">
        <v>358.1</v>
      </c>
      <c r="E14" s="0" t="n">
        <v>381.9</v>
      </c>
      <c r="F14" s="0" t="n">
        <v>367.6</v>
      </c>
      <c r="G14" s="0" t="n">
        <v>356.5</v>
      </c>
      <c r="H14" s="0" t="n">
        <v>358</v>
      </c>
      <c r="I14" s="0" t="n">
        <v>347.3</v>
      </c>
      <c r="J14" s="0" t="n">
        <v>363.2</v>
      </c>
      <c r="K14" s="0" t="n">
        <v>361.6</v>
      </c>
      <c r="L14" s="0" t="n">
        <v>351.7</v>
      </c>
      <c r="M14" s="0" t="n">
        <v>356.5</v>
      </c>
      <c r="N14" s="0" t="n">
        <v>359.5</v>
      </c>
      <c r="O14" s="0" t="n">
        <v>351.5</v>
      </c>
      <c r="P14" s="0" t="n">
        <v>354.9</v>
      </c>
      <c r="Q14" s="0" t="n">
        <v>363.9</v>
      </c>
      <c r="R14" s="0" t="n">
        <v>361.9</v>
      </c>
      <c r="S14" s="0" t="n">
        <v>367</v>
      </c>
      <c r="T14" s="0" t="n">
        <v>383.6</v>
      </c>
      <c r="U14" s="0" t="n">
        <v>357</v>
      </c>
      <c r="V14" s="0" t="n">
        <v>358.5</v>
      </c>
      <c r="W14" s="0" t="n">
        <v>366.6</v>
      </c>
      <c r="X14" s="6" t="n">
        <f aca="false">AVERAGE(D14:W14)</f>
        <v>361.34</v>
      </c>
      <c r="Y14" s="7" t="n">
        <f aca="false">_xlfn.STDEV.S(D14:W14)</f>
        <v>9.04563866995407</v>
      </c>
      <c r="Z14" s="7" t="n">
        <f aca="false">Y14/X14</f>
        <v>0.0250335934852329</v>
      </c>
    </row>
    <row r="15" customFormat="false" ht="16.75" hidden="false" customHeight="false" outlineLevel="0" collapsed="false">
      <c r="B15" s="4"/>
      <c r="C15" s="5" t="n">
        <v>75</v>
      </c>
      <c r="D15" s="0" t="n">
        <v>355.6</v>
      </c>
      <c r="E15" s="0" t="n">
        <v>366.2</v>
      </c>
      <c r="F15" s="0" t="n">
        <v>359.7</v>
      </c>
      <c r="G15" s="0" t="n">
        <v>360.1</v>
      </c>
      <c r="H15" s="0" t="n">
        <v>368.9</v>
      </c>
      <c r="I15" s="0" t="n">
        <v>360.5</v>
      </c>
      <c r="J15" s="0" t="n">
        <v>361.4</v>
      </c>
      <c r="K15" s="0" t="n">
        <v>360.9</v>
      </c>
      <c r="L15" s="0" t="n">
        <v>387.8</v>
      </c>
      <c r="M15" s="0" t="n">
        <v>370.5</v>
      </c>
      <c r="N15" s="0" t="n">
        <v>367.7</v>
      </c>
      <c r="O15" s="0" t="n">
        <v>359.5</v>
      </c>
      <c r="P15" s="0" t="n">
        <v>400.5</v>
      </c>
      <c r="Q15" s="0" t="n">
        <v>366.3</v>
      </c>
      <c r="R15" s="0" t="n">
        <v>358.4</v>
      </c>
      <c r="S15" s="0" t="n">
        <v>358.4</v>
      </c>
      <c r="T15" s="0" t="n">
        <v>356.7</v>
      </c>
      <c r="U15" s="0" t="n">
        <v>359.1</v>
      </c>
      <c r="V15" s="0" t="n">
        <v>371.2</v>
      </c>
      <c r="W15" s="0" t="n">
        <v>369</v>
      </c>
      <c r="X15" s="6" t="n">
        <f aca="false">AVERAGE(D15:W15)</f>
        <v>365.92</v>
      </c>
      <c r="Y15" s="7" t="n">
        <f aca="false">_xlfn.STDEV.S(D15:W15)</f>
        <v>10.9665328205985</v>
      </c>
      <c r="Z15" s="7" t="n">
        <f aca="false">Y15/X15</f>
        <v>0.0299697551940273</v>
      </c>
    </row>
    <row r="16" customFormat="false" ht="16.75" hidden="false" customHeight="false" outlineLevel="0" collapsed="false">
      <c r="B16" s="4"/>
      <c r="C16" s="5" t="n">
        <v>100</v>
      </c>
      <c r="D16" s="0" t="n">
        <v>361.6</v>
      </c>
      <c r="E16" s="0" t="n">
        <v>359.4</v>
      </c>
      <c r="F16" s="0" t="n">
        <v>379.9</v>
      </c>
      <c r="G16" s="0" t="n">
        <v>369</v>
      </c>
      <c r="H16" s="0" t="n">
        <v>361.4</v>
      </c>
      <c r="I16" s="0" t="n">
        <v>384</v>
      </c>
      <c r="J16" s="0" t="n">
        <v>362</v>
      </c>
      <c r="K16" s="0" t="n">
        <v>347.1</v>
      </c>
      <c r="L16" s="0" t="n">
        <v>337.8</v>
      </c>
      <c r="M16" s="0" t="n">
        <v>353.3</v>
      </c>
      <c r="N16" s="0" t="n">
        <v>369.7</v>
      </c>
      <c r="O16" s="0" t="n">
        <v>354.6</v>
      </c>
      <c r="P16" s="0" t="n">
        <v>372.1</v>
      </c>
      <c r="Q16" s="0" t="n">
        <v>373.9</v>
      </c>
      <c r="R16" s="0" t="n">
        <v>336.3</v>
      </c>
      <c r="S16" s="0" t="n">
        <v>324.6</v>
      </c>
      <c r="T16" s="0" t="n">
        <v>328.3</v>
      </c>
      <c r="U16" s="0" t="n">
        <v>348</v>
      </c>
      <c r="V16" s="0" t="n">
        <v>335.9</v>
      </c>
      <c r="W16" s="0" t="n">
        <v>345.3</v>
      </c>
      <c r="X16" s="6" t="n">
        <f aca="false">AVERAGE(D16:W16)</f>
        <v>355.21</v>
      </c>
      <c r="Y16" s="7" t="n">
        <f aca="false">_xlfn.STDEV.S(D16:W16)</f>
        <v>17.0612796459672</v>
      </c>
      <c r="Z16" s="7" t="n">
        <f aca="false">Y16/X16</f>
        <v>0.0480315296471586</v>
      </c>
    </row>
    <row r="17" customFormat="false" ht="16.75" hidden="false" customHeight="false" outlineLevel="0" collapsed="false">
      <c r="B17" s="4"/>
      <c r="C17" s="5" t="n">
        <v>150</v>
      </c>
      <c r="D17" s="0" t="n">
        <v>332</v>
      </c>
      <c r="E17" s="0" t="n">
        <v>321.8</v>
      </c>
      <c r="F17" s="0" t="n">
        <v>339.7</v>
      </c>
      <c r="G17" s="0" t="n">
        <v>374.5</v>
      </c>
      <c r="H17" s="0" t="n">
        <v>330.2</v>
      </c>
      <c r="I17" s="0" t="n">
        <v>328.5</v>
      </c>
      <c r="J17" s="0" t="n">
        <v>330.2</v>
      </c>
      <c r="K17" s="0" t="n">
        <v>310.7</v>
      </c>
      <c r="L17" s="0" t="n">
        <v>321.6</v>
      </c>
      <c r="M17" s="0" t="n">
        <v>395.1</v>
      </c>
      <c r="N17" s="0" t="n">
        <v>335.6</v>
      </c>
      <c r="O17" s="0" t="n">
        <v>334.8</v>
      </c>
      <c r="P17" s="0" t="n">
        <v>319.7</v>
      </c>
      <c r="Q17" s="0" t="n">
        <v>370.9</v>
      </c>
      <c r="R17" s="0" t="n">
        <v>348.9</v>
      </c>
      <c r="S17" s="0" t="n">
        <v>335.9</v>
      </c>
      <c r="T17" s="0" t="n">
        <v>352.5</v>
      </c>
      <c r="U17" s="0" t="n">
        <v>333.2</v>
      </c>
      <c r="V17" s="0" t="n">
        <v>313</v>
      </c>
      <c r="W17" s="0" t="n">
        <v>327.3</v>
      </c>
      <c r="X17" s="6" t="n">
        <f aca="false">AVERAGE(D17:W17)</f>
        <v>337.805</v>
      </c>
      <c r="Y17" s="7" t="n">
        <f aca="false">_xlfn.STDEV.S(D17:W17)</f>
        <v>21.3353049390466</v>
      </c>
      <c r="Z17" s="7" t="n">
        <f aca="false">Y17/X17</f>
        <v>0.0631586416395452</v>
      </c>
    </row>
    <row r="18" customFormat="false" ht="15" hidden="false" customHeight="true" outlineLevel="0" collapsed="false">
      <c r="A18" s="1" t="s">
        <v>36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400.1</v>
      </c>
      <c r="E23" s="0" t="n">
        <v>399</v>
      </c>
      <c r="F23" s="0" t="n">
        <v>399.5</v>
      </c>
      <c r="G23" s="0" t="n">
        <v>400.2</v>
      </c>
      <c r="H23" s="0" t="n">
        <v>396.6</v>
      </c>
      <c r="I23" s="0" t="n">
        <v>403.4</v>
      </c>
      <c r="J23" s="0" t="n">
        <v>398.9</v>
      </c>
      <c r="K23" s="0" t="n">
        <v>402.4</v>
      </c>
      <c r="L23" s="0" t="n">
        <v>391.3</v>
      </c>
      <c r="M23" s="0" t="n">
        <v>398.4</v>
      </c>
      <c r="N23" s="0" t="n">
        <v>392.8</v>
      </c>
      <c r="O23" s="0" t="n">
        <v>397.1</v>
      </c>
      <c r="P23" s="0" t="n">
        <v>397.4</v>
      </c>
      <c r="Q23" s="0" t="n">
        <v>398.6</v>
      </c>
      <c r="R23" s="0" t="n">
        <v>397.9</v>
      </c>
      <c r="S23" s="0" t="n">
        <v>401.2</v>
      </c>
      <c r="T23" s="0" t="n">
        <v>397.9</v>
      </c>
      <c r="U23" s="0" t="n">
        <v>399.8</v>
      </c>
      <c r="V23" s="0" t="n">
        <v>390.7</v>
      </c>
      <c r="W23" s="0" t="n">
        <v>399.6</v>
      </c>
      <c r="X23" s="6" t="n">
        <f aca="false">AVERAGE(D23:W23)</f>
        <v>398.14</v>
      </c>
      <c r="Y23" s="7" t="n">
        <f aca="false">_xlfn.STDEV.S(D23:W23)</f>
        <v>3.29567499675112</v>
      </c>
      <c r="Z23" s="7" t="n">
        <f aca="false">Y23/X23</f>
        <v>0.00827767869782268</v>
      </c>
    </row>
    <row r="24" customFormat="false" ht="16.75" hidden="false" customHeight="false" outlineLevel="0" collapsed="false">
      <c r="B24" s="4"/>
      <c r="C24" s="5" t="n">
        <v>25</v>
      </c>
      <c r="D24" s="0" t="n">
        <v>398.5</v>
      </c>
      <c r="E24" s="0" t="n">
        <v>399.7</v>
      </c>
      <c r="F24" s="0" t="n">
        <v>398.4</v>
      </c>
      <c r="G24" s="0" t="n">
        <v>398.5</v>
      </c>
      <c r="H24" s="0" t="n">
        <v>402.5</v>
      </c>
      <c r="I24" s="0" t="n">
        <v>398.4</v>
      </c>
      <c r="J24" s="0" t="n">
        <v>400.7</v>
      </c>
      <c r="K24" s="0" t="n">
        <v>399.8</v>
      </c>
      <c r="L24" s="0" t="n">
        <v>389.1</v>
      </c>
      <c r="M24" s="0" t="n">
        <v>397.8</v>
      </c>
      <c r="N24" s="0" t="n">
        <v>400</v>
      </c>
      <c r="O24" s="0" t="n">
        <v>401.5</v>
      </c>
      <c r="P24" s="0" t="n">
        <v>396.5</v>
      </c>
      <c r="Q24" s="0" t="n">
        <v>389.8</v>
      </c>
      <c r="R24" s="0" t="n">
        <v>397.4</v>
      </c>
      <c r="S24" s="0" t="n">
        <v>399.5</v>
      </c>
      <c r="T24" s="0" t="n">
        <v>400.1</v>
      </c>
      <c r="U24" s="0" t="n">
        <v>396.5</v>
      </c>
      <c r="V24" s="0" t="n">
        <v>396.8</v>
      </c>
      <c r="W24" s="0" t="n">
        <v>395.7</v>
      </c>
      <c r="X24" s="6" t="n">
        <f aca="false">AVERAGE(D24:W24)</f>
        <v>397.86</v>
      </c>
      <c r="Y24" s="7" t="n">
        <f aca="false">_xlfn.STDEV.S(D24:W24)</f>
        <v>3.36458334012275</v>
      </c>
      <c r="Z24" s="7" t="n">
        <f aca="false">Y24/X24</f>
        <v>0.00845670170442555</v>
      </c>
    </row>
    <row r="25" customFormat="false" ht="16.75" hidden="false" customHeight="false" outlineLevel="0" collapsed="false">
      <c r="B25" s="4"/>
      <c r="C25" s="5" t="n">
        <v>38</v>
      </c>
      <c r="D25" s="0" t="n">
        <v>398.8</v>
      </c>
      <c r="E25" s="0" t="n">
        <v>395.1</v>
      </c>
      <c r="F25" s="0" t="n">
        <v>388.1</v>
      </c>
      <c r="G25" s="0" t="n">
        <v>392.7</v>
      </c>
      <c r="H25" s="0" t="n">
        <v>394.3</v>
      </c>
      <c r="I25" s="0" t="n">
        <v>393</v>
      </c>
      <c r="J25" s="0" t="n">
        <v>395.4</v>
      </c>
      <c r="K25" s="0" t="n">
        <v>393.3</v>
      </c>
      <c r="L25" s="0" t="n">
        <v>391.3</v>
      </c>
      <c r="M25" s="0" t="n">
        <v>396.9</v>
      </c>
      <c r="N25" s="0" t="n">
        <v>397.3</v>
      </c>
      <c r="O25" s="0" t="n">
        <v>395.8</v>
      </c>
      <c r="P25" s="0" t="n">
        <v>388.5</v>
      </c>
      <c r="Q25" s="0" t="n">
        <v>395</v>
      </c>
      <c r="R25" s="0" t="n">
        <v>395.9</v>
      </c>
      <c r="S25" s="0" t="n">
        <v>392.3</v>
      </c>
      <c r="T25" s="0" t="n">
        <v>390.9</v>
      </c>
      <c r="U25" s="0" t="n">
        <v>393.9</v>
      </c>
      <c r="V25" s="0" t="n">
        <v>393.7</v>
      </c>
      <c r="W25" s="0" t="n">
        <v>395</v>
      </c>
      <c r="X25" s="6" t="n">
        <f aca="false">AVERAGE(D25:W25)</f>
        <v>393.86</v>
      </c>
      <c r="Y25" s="7" t="n">
        <f aca="false">_xlfn.STDEV.S(D25:W25)</f>
        <v>2.73561308436855</v>
      </c>
      <c r="Z25" s="7" t="n">
        <f aca="false">Y25/X25</f>
        <v>0.00694564841407747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376.2</v>
      </c>
      <c r="E26" s="0" t="n">
        <v>375</v>
      </c>
      <c r="F26" s="0" t="n">
        <v>376.1</v>
      </c>
      <c r="G26" s="0" t="n">
        <v>362.9</v>
      </c>
      <c r="H26" s="0" t="n">
        <v>375.5</v>
      </c>
      <c r="I26" s="0" t="n">
        <v>374.4</v>
      </c>
      <c r="J26" s="0" t="n">
        <v>375.5</v>
      </c>
      <c r="K26" s="0" t="n">
        <v>369.8</v>
      </c>
      <c r="L26" s="0" t="n">
        <v>373.6</v>
      </c>
      <c r="M26" s="0" t="n">
        <v>369.5</v>
      </c>
      <c r="N26" s="0" t="n">
        <v>366.9</v>
      </c>
      <c r="O26" s="0" t="n">
        <v>371.1</v>
      </c>
      <c r="P26" s="0" t="n">
        <v>358.1</v>
      </c>
      <c r="Q26" s="0" t="n">
        <v>371.9</v>
      </c>
      <c r="R26" s="0" t="n">
        <v>368.6</v>
      </c>
      <c r="S26" s="0" t="n">
        <v>369.8</v>
      </c>
      <c r="T26" s="0" t="n">
        <v>374</v>
      </c>
      <c r="U26" s="0" t="n">
        <v>365.5</v>
      </c>
      <c r="V26" s="0" t="n">
        <v>374.6</v>
      </c>
      <c r="W26" s="0" t="n">
        <v>369.9</v>
      </c>
      <c r="X26" s="6" t="n">
        <f aca="false">AVERAGE(D26:W26)</f>
        <v>370.945</v>
      </c>
      <c r="Y26" s="7" t="n">
        <f aca="false">_xlfn.STDEV.S(D26:W26)</f>
        <v>4.82193180331177</v>
      </c>
      <c r="Z26" s="7" t="n">
        <f aca="false">Y26/X26</f>
        <v>0.0129990478462084</v>
      </c>
    </row>
    <row r="27" customFormat="false" ht="16.75" hidden="false" customHeight="false" outlineLevel="0" collapsed="false">
      <c r="B27" s="4"/>
      <c r="C27" s="5" t="n">
        <v>63</v>
      </c>
      <c r="D27" s="0" t="n">
        <v>379.8</v>
      </c>
      <c r="E27" s="0" t="n">
        <v>382.2</v>
      </c>
      <c r="F27" s="0" t="n">
        <v>376.8</v>
      </c>
      <c r="G27" s="0" t="n">
        <v>384</v>
      </c>
      <c r="H27" s="0" t="n">
        <v>378.8</v>
      </c>
      <c r="I27" s="0" t="n">
        <v>385.2</v>
      </c>
      <c r="J27" s="0" t="n">
        <v>410.6</v>
      </c>
      <c r="K27" s="0" t="n">
        <v>387.2</v>
      </c>
      <c r="L27" s="0" t="n">
        <v>402.4</v>
      </c>
      <c r="M27" s="0" t="n">
        <v>401.3</v>
      </c>
      <c r="N27" s="0" t="n">
        <v>394.3</v>
      </c>
      <c r="O27" s="0" t="n">
        <v>397.4</v>
      </c>
      <c r="P27" s="0" t="n">
        <v>398.6</v>
      </c>
      <c r="Q27" s="0" t="n">
        <v>409.3</v>
      </c>
      <c r="R27" s="0" t="n">
        <v>393.6</v>
      </c>
      <c r="S27" s="0" t="n">
        <v>388</v>
      </c>
      <c r="T27" s="0" t="n">
        <v>385.4</v>
      </c>
      <c r="U27" s="0" t="n">
        <v>389.3</v>
      </c>
      <c r="V27" s="0" t="n">
        <v>382.1</v>
      </c>
      <c r="W27" s="0" t="n">
        <v>379.2</v>
      </c>
      <c r="X27" s="6" t="n">
        <f aca="false">AVERAGE(D27:W27)</f>
        <v>390.275</v>
      </c>
      <c r="Y27" s="7" t="n">
        <f aca="false">_xlfn.STDEV.S(D27:W27)</f>
        <v>10.1905464447254</v>
      </c>
      <c r="Z27" s="7" t="n">
        <f aca="false">Y27/X27</f>
        <v>0.0261111945287948</v>
      </c>
    </row>
    <row r="28" customFormat="false" ht="16.75" hidden="false" customHeight="false" outlineLevel="0" collapsed="false">
      <c r="B28" s="4"/>
      <c r="C28" s="5" t="n">
        <v>93</v>
      </c>
      <c r="D28" s="0" t="n">
        <v>382.2</v>
      </c>
      <c r="E28" s="0" t="n">
        <v>391.2</v>
      </c>
      <c r="F28" s="0" t="n">
        <v>394.6</v>
      </c>
      <c r="G28" s="0" t="n">
        <v>382.6</v>
      </c>
      <c r="H28" s="0" t="n">
        <v>391.9</v>
      </c>
      <c r="I28" s="0" t="n">
        <v>386.8</v>
      </c>
      <c r="J28" s="0" t="n">
        <v>383.2</v>
      </c>
      <c r="K28" s="0" t="n">
        <v>388.3</v>
      </c>
      <c r="L28" s="0" t="n">
        <v>388.1</v>
      </c>
      <c r="M28" s="0" t="n">
        <v>380.1</v>
      </c>
      <c r="N28" s="0" t="n">
        <v>380.4</v>
      </c>
      <c r="O28" s="0" t="n">
        <v>381</v>
      </c>
      <c r="P28" s="0" t="n">
        <v>381</v>
      </c>
      <c r="Q28" s="0" t="n">
        <v>376.4</v>
      </c>
      <c r="R28" s="0" t="n">
        <v>383.2</v>
      </c>
      <c r="S28" s="0" t="n">
        <v>391.4</v>
      </c>
      <c r="T28" s="0" t="n">
        <v>386.9</v>
      </c>
      <c r="U28" s="0" t="n">
        <v>384.8</v>
      </c>
      <c r="V28" s="0" t="n">
        <v>389.4</v>
      </c>
      <c r="W28" s="0" t="n">
        <v>383.4</v>
      </c>
      <c r="X28" s="6" t="n">
        <f aca="false">AVERAGE(D28:W28)</f>
        <v>385.345</v>
      </c>
      <c r="Y28" s="7" t="n">
        <f aca="false">_xlfn.STDEV.S(D28:W28)</f>
        <v>4.79752951775017</v>
      </c>
      <c r="Z28" s="7" t="n">
        <f aca="false">Y28/X28</f>
        <v>0.0124499591735981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325.9</v>
      </c>
      <c r="E29" s="0" t="n">
        <v>320.7</v>
      </c>
      <c r="F29" s="0" t="n">
        <v>322.7</v>
      </c>
      <c r="G29" s="0" t="n">
        <v>328.6</v>
      </c>
      <c r="H29" s="0" t="n">
        <v>315.9</v>
      </c>
      <c r="I29" s="0" t="n">
        <v>328.5</v>
      </c>
      <c r="J29" s="0" t="n">
        <v>317.2</v>
      </c>
      <c r="K29" s="0" t="n">
        <v>311.6</v>
      </c>
      <c r="L29" s="0" t="n">
        <v>322.3</v>
      </c>
      <c r="M29" s="0" t="n">
        <v>326.7</v>
      </c>
      <c r="N29" s="0" t="n">
        <v>322.6</v>
      </c>
      <c r="O29" s="0" t="n">
        <v>335.5</v>
      </c>
      <c r="P29" s="0" t="n">
        <v>334.8</v>
      </c>
      <c r="Q29" s="0" t="n">
        <v>327.5</v>
      </c>
      <c r="R29" s="0" t="n">
        <v>327.5</v>
      </c>
      <c r="S29" s="0" t="n">
        <v>322.2</v>
      </c>
      <c r="T29" s="0" t="n">
        <v>325.5</v>
      </c>
      <c r="U29" s="0" t="n">
        <v>326.3</v>
      </c>
      <c r="V29" s="0" t="n">
        <v>331.2</v>
      </c>
      <c r="W29" s="0" t="n">
        <v>330.9</v>
      </c>
      <c r="X29" s="6" t="n">
        <f aca="false">AVERAGE(D29:W29)</f>
        <v>325.205</v>
      </c>
      <c r="Y29" s="7" t="n">
        <f aca="false">_xlfn.STDEV.S(D29:W29)</f>
        <v>6.02595046008249</v>
      </c>
      <c r="Z29" s="7" t="n">
        <f aca="false">Y29/X29</f>
        <v>0.0185296980676266</v>
      </c>
    </row>
    <row r="30" customFormat="false" ht="16.75" hidden="false" customHeight="false" outlineLevel="0" collapsed="false">
      <c r="B30" s="4"/>
      <c r="C30" s="5" t="n">
        <v>38</v>
      </c>
      <c r="D30" s="0" t="n">
        <v>330.4</v>
      </c>
      <c r="E30" s="0" t="n">
        <v>337.7</v>
      </c>
      <c r="F30" s="0" t="n">
        <v>342.6</v>
      </c>
      <c r="G30" s="0" t="n">
        <v>334.4</v>
      </c>
      <c r="H30" s="0" t="n">
        <v>341</v>
      </c>
      <c r="I30" s="0" t="n">
        <v>342.7</v>
      </c>
      <c r="J30" s="0" t="n">
        <v>338.8</v>
      </c>
      <c r="K30" s="0" t="n">
        <v>334.5</v>
      </c>
      <c r="L30" s="0" t="n">
        <v>330.5</v>
      </c>
      <c r="M30" s="0" t="n">
        <v>341.6</v>
      </c>
      <c r="N30" s="0" t="n">
        <v>341.1</v>
      </c>
      <c r="O30" s="0" t="n">
        <v>344.2</v>
      </c>
      <c r="P30" s="0" t="n">
        <v>340.8</v>
      </c>
      <c r="Q30" s="0" t="n">
        <v>327.5</v>
      </c>
      <c r="R30" s="0" t="n">
        <v>342.7</v>
      </c>
      <c r="S30" s="0" t="n">
        <v>333.9</v>
      </c>
      <c r="T30" s="0" t="n">
        <v>333.4</v>
      </c>
      <c r="U30" s="0" t="n">
        <v>333.1</v>
      </c>
      <c r="V30" s="0" t="n">
        <v>340.2</v>
      </c>
      <c r="W30" s="0" t="n">
        <v>340.4</v>
      </c>
      <c r="X30" s="6" t="n">
        <f aca="false">AVERAGE(D30:W30)</f>
        <v>337.575</v>
      </c>
      <c r="Y30" s="7" t="n">
        <f aca="false">_xlfn.STDEV.S(D30:W30)</f>
        <v>4.93301178421033</v>
      </c>
      <c r="Z30" s="7" t="n">
        <f aca="false">Y30/X30</f>
        <v>0.014613083860506</v>
      </c>
    </row>
    <row r="31" customFormat="false" ht="16.75" hidden="false" customHeight="false" outlineLevel="0" collapsed="false">
      <c r="B31" s="4"/>
      <c r="C31" s="5" t="n">
        <v>50</v>
      </c>
      <c r="D31" s="0" t="n">
        <v>345.5</v>
      </c>
      <c r="E31" s="0" t="n">
        <v>343.3</v>
      </c>
      <c r="F31" s="0" t="n">
        <v>347.6</v>
      </c>
      <c r="G31" s="0" t="n">
        <v>351.9</v>
      </c>
      <c r="H31" s="0" t="n">
        <v>339.5</v>
      </c>
      <c r="I31" s="0" t="n">
        <v>341.4</v>
      </c>
      <c r="J31" s="0" t="n">
        <v>366.9</v>
      </c>
      <c r="K31" s="0" t="n">
        <v>349.8</v>
      </c>
      <c r="L31" s="0" t="n">
        <v>345.5</v>
      </c>
      <c r="M31" s="0" t="n">
        <v>349.6</v>
      </c>
      <c r="N31" s="0" t="n">
        <v>343.9</v>
      </c>
      <c r="O31" s="0" t="n">
        <v>351.9</v>
      </c>
      <c r="P31" s="0" t="n">
        <v>349.7</v>
      </c>
      <c r="Q31" s="0" t="n">
        <v>347.3</v>
      </c>
      <c r="R31" s="0" t="n">
        <v>355.9</v>
      </c>
      <c r="S31" s="0" t="n">
        <v>344.3</v>
      </c>
      <c r="T31" s="0" t="n">
        <v>343.2</v>
      </c>
      <c r="U31" s="0" t="n">
        <v>347.2</v>
      </c>
      <c r="V31" s="0" t="n">
        <v>349.3</v>
      </c>
      <c r="W31" s="0" t="n">
        <v>341.5</v>
      </c>
      <c r="X31" s="6" t="n">
        <f aca="false">AVERAGE(D31:W31)</f>
        <v>347.76</v>
      </c>
      <c r="Y31" s="7" t="n">
        <f aca="false">_xlfn.STDEV.S(D31:W31)</f>
        <v>6.09895590719384</v>
      </c>
      <c r="Z31" s="7" t="n">
        <f aca="false">Y31/X31</f>
        <v>0.0175378304209623</v>
      </c>
    </row>
    <row r="32" customFormat="false" ht="16.75" hidden="false" customHeight="false" outlineLevel="0" collapsed="false">
      <c r="B32" s="4"/>
      <c r="C32" s="5" t="n">
        <v>75</v>
      </c>
      <c r="D32" s="0" t="n">
        <v>340.1</v>
      </c>
      <c r="E32" s="0" t="n">
        <v>354.1</v>
      </c>
      <c r="F32" s="0" t="n">
        <v>354.5</v>
      </c>
      <c r="G32" s="0" t="n">
        <v>344</v>
      </c>
      <c r="H32" s="0" t="n">
        <v>357.1</v>
      </c>
      <c r="I32" s="0" t="n">
        <v>353.5</v>
      </c>
      <c r="J32" s="0" t="n">
        <v>360.7</v>
      </c>
      <c r="K32" s="0" t="n">
        <v>403.5</v>
      </c>
      <c r="L32" s="0" t="n">
        <v>353.3</v>
      </c>
      <c r="M32" s="0" t="n">
        <v>351.6</v>
      </c>
      <c r="N32" s="0" t="n">
        <v>345.6</v>
      </c>
      <c r="O32" s="0" t="n">
        <v>351.1</v>
      </c>
      <c r="P32" s="0" t="n">
        <v>344.7</v>
      </c>
      <c r="Q32" s="0" t="n">
        <v>351.5</v>
      </c>
      <c r="R32" s="0" t="n">
        <v>353.1</v>
      </c>
      <c r="S32" s="0" t="n">
        <v>349.1</v>
      </c>
      <c r="T32" s="0" t="n">
        <v>352</v>
      </c>
      <c r="U32" s="0" t="n">
        <v>349.3</v>
      </c>
      <c r="V32" s="0" t="n">
        <v>347.7</v>
      </c>
      <c r="W32" s="0" t="n">
        <v>348</v>
      </c>
      <c r="X32" s="6" t="n">
        <f aca="false">AVERAGE(D32:W32)</f>
        <v>353.225</v>
      </c>
      <c r="Y32" s="7" t="n">
        <f aca="false">_xlfn.STDEV.S(D32:W32)</f>
        <v>12.7548081749177</v>
      </c>
      <c r="Z32" s="7" t="n">
        <f aca="false">Y32/X32</f>
        <v>0.0361095850376324</v>
      </c>
    </row>
    <row r="33" customFormat="false" ht="16.75" hidden="false" customHeight="false" outlineLevel="0" collapsed="false">
      <c r="B33" s="4"/>
      <c r="C33" s="5" t="n">
        <v>100</v>
      </c>
      <c r="D33" s="0" t="n">
        <v>358</v>
      </c>
      <c r="E33" s="0" t="n">
        <v>354.8</v>
      </c>
      <c r="F33" s="0" t="n">
        <v>357.7</v>
      </c>
      <c r="G33" s="0" t="n">
        <v>351.7</v>
      </c>
      <c r="H33" s="0" t="n">
        <v>365.7</v>
      </c>
      <c r="I33" s="0" t="n">
        <v>360</v>
      </c>
      <c r="J33" s="0" t="n">
        <v>352</v>
      </c>
      <c r="K33" s="0" t="n">
        <v>357.4</v>
      </c>
      <c r="L33" s="0" t="n">
        <v>357.5</v>
      </c>
      <c r="M33" s="0" t="n">
        <v>354.1</v>
      </c>
      <c r="N33" s="0" t="n">
        <v>366</v>
      </c>
      <c r="O33" s="0" t="n">
        <v>355.9</v>
      </c>
      <c r="P33" s="0" t="n">
        <v>357</v>
      </c>
      <c r="Q33" s="0" t="n">
        <v>358</v>
      </c>
      <c r="R33" s="0" t="n">
        <v>365</v>
      </c>
      <c r="S33" s="0" t="n">
        <v>361.7</v>
      </c>
      <c r="T33" s="0" t="n">
        <v>388</v>
      </c>
      <c r="U33" s="0" t="n">
        <v>354.6</v>
      </c>
      <c r="V33" s="0" t="n">
        <v>360.9</v>
      </c>
      <c r="W33" s="0" t="n">
        <v>357.1</v>
      </c>
      <c r="X33" s="6" t="n">
        <f aca="false">AVERAGE(D33:W33)</f>
        <v>359.655</v>
      </c>
      <c r="Y33" s="7" t="n">
        <f aca="false">_xlfn.STDEV.S(D33:W33)</f>
        <v>7.82448753997077</v>
      </c>
      <c r="Z33" s="7" t="n">
        <f aca="false">Y33/X33</f>
        <v>0.0217555366670025</v>
      </c>
    </row>
    <row r="34" customFormat="false" ht="16.75" hidden="false" customHeight="false" outlineLevel="0" collapsed="false">
      <c r="B34" s="4"/>
      <c r="C34" s="5" t="n">
        <v>150</v>
      </c>
      <c r="D34" s="0" t="n">
        <v>380.6</v>
      </c>
      <c r="E34" s="0" t="n">
        <v>372.3</v>
      </c>
      <c r="F34" s="0" t="n">
        <v>364.9</v>
      </c>
      <c r="G34" s="0" t="n">
        <v>359.2</v>
      </c>
      <c r="H34" s="0" t="n">
        <v>382.8</v>
      </c>
      <c r="I34" s="0" t="n">
        <v>361.2</v>
      </c>
      <c r="J34" s="0" t="n">
        <v>389.6</v>
      </c>
      <c r="K34" s="0" t="n">
        <v>370.2</v>
      </c>
      <c r="L34" s="0" t="n">
        <v>376.2</v>
      </c>
      <c r="M34" s="0" t="n">
        <v>371.2</v>
      </c>
      <c r="N34" s="0" t="n">
        <v>377.1</v>
      </c>
      <c r="O34" s="0" t="n">
        <v>383.4</v>
      </c>
      <c r="P34" s="0" t="n">
        <v>373.4</v>
      </c>
      <c r="Q34" s="0" t="n">
        <v>374.9</v>
      </c>
      <c r="R34" s="0" t="n">
        <v>374.7</v>
      </c>
      <c r="S34" s="0" t="n">
        <v>372.5</v>
      </c>
      <c r="T34" s="0" t="n">
        <v>368</v>
      </c>
      <c r="U34" s="0" t="n">
        <v>369.8</v>
      </c>
      <c r="V34" s="0" t="n">
        <v>366</v>
      </c>
      <c r="W34" s="0" t="n">
        <v>372.3</v>
      </c>
      <c r="X34" s="6" t="n">
        <f aca="false">AVERAGE(D34:W34)</f>
        <v>373.015</v>
      </c>
      <c r="Y34" s="7" t="n">
        <f aca="false">_xlfn.STDEV.S(D34:W34)</f>
        <v>7.48002779336239</v>
      </c>
      <c r="Z34" s="7" t="n">
        <f aca="false">Y34/X34</f>
        <v>0.0200528873996016</v>
      </c>
    </row>
    <row r="35" customFormat="false" ht="15" hidden="false" customHeight="true" outlineLevel="0" collapsed="false">
      <c r="A35" s="1" t="s">
        <v>36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394.1</v>
      </c>
      <c r="E40" s="0" t="n">
        <v>396.3</v>
      </c>
      <c r="F40" s="0" t="n">
        <v>395.1</v>
      </c>
      <c r="G40" s="0" t="n">
        <v>394.8</v>
      </c>
      <c r="H40" s="0" t="n">
        <v>391.1</v>
      </c>
      <c r="I40" s="0" t="n">
        <v>392.5</v>
      </c>
      <c r="J40" s="0" t="n">
        <v>396</v>
      </c>
      <c r="K40" s="0" t="n">
        <v>395.1</v>
      </c>
      <c r="L40" s="0" t="n">
        <v>396.4</v>
      </c>
      <c r="M40" s="0" t="n">
        <v>393.5</v>
      </c>
      <c r="N40" s="0" t="n">
        <v>399.6</v>
      </c>
      <c r="O40" s="0" t="n">
        <v>392.5</v>
      </c>
      <c r="P40" s="0" t="n">
        <v>396.3</v>
      </c>
      <c r="Q40" s="0" t="n">
        <v>392.7</v>
      </c>
      <c r="R40" s="0" t="n">
        <v>396.5</v>
      </c>
      <c r="S40" s="0" t="n">
        <v>391.4</v>
      </c>
      <c r="T40" s="0" t="n">
        <v>395.6</v>
      </c>
      <c r="U40" s="0" t="n">
        <v>394.4</v>
      </c>
      <c r="V40" s="0" t="n">
        <v>398.5</v>
      </c>
      <c r="W40" s="0" t="n">
        <v>400.5</v>
      </c>
      <c r="X40" s="6" t="n">
        <f aca="false">AVERAGE(D40:W40)</f>
        <v>395.145</v>
      </c>
      <c r="Y40" s="7" t="n">
        <f aca="false">_xlfn.STDEV.S(D40:W40)</f>
        <v>2.53012897528544</v>
      </c>
      <c r="Z40" s="7" t="n">
        <f aca="false">Y40/X40</f>
        <v>0.00640303932805791</v>
      </c>
    </row>
    <row r="41" customFormat="false" ht="16.75" hidden="false" customHeight="false" outlineLevel="0" collapsed="false">
      <c r="B41" s="4"/>
      <c r="C41" s="5" t="n">
        <v>25</v>
      </c>
      <c r="D41" s="0" t="n">
        <v>394.8</v>
      </c>
      <c r="E41" s="0" t="n">
        <v>392.9</v>
      </c>
      <c r="F41" s="0" t="n">
        <v>397.3</v>
      </c>
      <c r="G41" s="0" t="n">
        <v>394.5</v>
      </c>
      <c r="H41" s="0" t="n">
        <v>394.7</v>
      </c>
      <c r="I41" s="0" t="n">
        <v>394.5</v>
      </c>
      <c r="J41" s="0" t="n">
        <v>395.5</v>
      </c>
      <c r="K41" s="0" t="n">
        <v>390.2</v>
      </c>
      <c r="L41" s="0" t="n">
        <v>398.2</v>
      </c>
      <c r="M41" s="0" t="n">
        <v>397.6</v>
      </c>
      <c r="N41" s="0" t="n">
        <v>393.7</v>
      </c>
      <c r="O41" s="0" t="n">
        <v>395.8</v>
      </c>
      <c r="P41" s="0" t="n">
        <v>396</v>
      </c>
      <c r="Q41" s="0" t="n">
        <v>394.2</v>
      </c>
      <c r="R41" s="0" t="n">
        <v>395.7</v>
      </c>
      <c r="S41" s="0" t="n">
        <v>397.7</v>
      </c>
      <c r="T41" s="0" t="n">
        <v>398.3</v>
      </c>
      <c r="U41" s="0" t="n">
        <v>397.4</v>
      </c>
      <c r="V41" s="0" t="n">
        <v>395.9</v>
      </c>
      <c r="W41" s="0" t="n">
        <v>398.3</v>
      </c>
      <c r="X41" s="6" t="n">
        <f aca="false">AVERAGE(D41:W41)</f>
        <v>395.66</v>
      </c>
      <c r="Y41" s="7" t="n">
        <f aca="false">_xlfn.STDEV.S(D41:W41)</f>
        <v>2.07754916339321</v>
      </c>
      <c r="Z41" s="7" t="n">
        <f aca="false">Y41/X41</f>
        <v>0.00525084457209019</v>
      </c>
    </row>
    <row r="42" customFormat="false" ht="16.75" hidden="false" customHeight="false" outlineLevel="0" collapsed="false">
      <c r="B42" s="4"/>
      <c r="C42" s="5" t="n">
        <v>38</v>
      </c>
      <c r="D42" s="0" t="n">
        <v>398.7</v>
      </c>
      <c r="E42" s="0" t="n">
        <v>395.1</v>
      </c>
      <c r="F42" s="0" t="n">
        <v>396.6</v>
      </c>
      <c r="G42" s="0" t="n">
        <v>396.2</v>
      </c>
      <c r="H42" s="0" t="n">
        <v>393.4</v>
      </c>
      <c r="I42" s="0" t="n">
        <v>402.8</v>
      </c>
      <c r="J42" s="0" t="n">
        <v>397.6</v>
      </c>
      <c r="K42" s="0" t="n">
        <v>393</v>
      </c>
      <c r="L42" s="0" t="n">
        <v>396.8</v>
      </c>
      <c r="M42" s="0" t="n">
        <v>397.1</v>
      </c>
      <c r="N42" s="0" t="n">
        <v>394.7</v>
      </c>
      <c r="O42" s="0" t="n">
        <v>397.5</v>
      </c>
      <c r="P42" s="0" t="n">
        <v>395.9</v>
      </c>
      <c r="Q42" s="0" t="n">
        <v>399.4</v>
      </c>
      <c r="R42" s="0" t="n">
        <v>400.1</v>
      </c>
      <c r="S42" s="0" t="n">
        <v>397.4</v>
      </c>
      <c r="T42" s="0" t="n">
        <v>397.9</v>
      </c>
      <c r="U42" s="0" t="n">
        <v>395</v>
      </c>
      <c r="V42" s="0" t="n">
        <v>399.9</v>
      </c>
      <c r="W42" s="0" t="n">
        <v>392.8</v>
      </c>
      <c r="X42" s="6" t="n">
        <f aca="false">AVERAGE(D42:W42)</f>
        <v>396.895</v>
      </c>
      <c r="Y42" s="7" t="n">
        <f aca="false">_xlfn.STDEV.S(D42:W42)</f>
        <v>2.54671615181094</v>
      </c>
      <c r="Z42" s="7" t="n">
        <f aca="false">Y42/X42</f>
        <v>0.00641659923105845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388</v>
      </c>
      <c r="E43" s="0" t="n">
        <v>374.8</v>
      </c>
      <c r="F43" s="0" t="n">
        <v>380.2</v>
      </c>
      <c r="G43" s="0" t="n">
        <v>374.5</v>
      </c>
      <c r="H43" s="0" t="n">
        <v>379</v>
      </c>
      <c r="I43" s="0" t="n">
        <v>382.4</v>
      </c>
      <c r="J43" s="0" t="n">
        <v>382.5</v>
      </c>
      <c r="K43" s="0" t="n">
        <v>376.2</v>
      </c>
      <c r="L43" s="0" t="n">
        <v>379.8</v>
      </c>
      <c r="M43" s="0" t="n">
        <v>377.2</v>
      </c>
      <c r="N43" s="0" t="n">
        <v>369.3</v>
      </c>
      <c r="O43" s="0" t="n">
        <v>376</v>
      </c>
      <c r="P43" s="0" t="n">
        <v>375.3</v>
      </c>
      <c r="Q43" s="0" t="n">
        <v>382.1</v>
      </c>
      <c r="R43" s="0" t="n">
        <v>371.7</v>
      </c>
      <c r="S43" s="0" t="n">
        <v>382.4</v>
      </c>
      <c r="T43" s="0" t="n">
        <v>382.7</v>
      </c>
      <c r="U43" s="0" t="n">
        <v>383.9</v>
      </c>
      <c r="V43" s="0" t="n">
        <v>381</v>
      </c>
      <c r="W43" s="0" t="n">
        <v>376</v>
      </c>
      <c r="X43" s="6" t="n">
        <f aca="false">AVERAGE(D43:W43)</f>
        <v>378.75</v>
      </c>
      <c r="Y43" s="7" t="n">
        <f aca="false">_xlfn.STDEV.S(D43:W43)</f>
        <v>4.56848471942053</v>
      </c>
      <c r="Z43" s="7" t="n">
        <f aca="false">Y43/X43</f>
        <v>0.0120620058598562</v>
      </c>
    </row>
    <row r="44" customFormat="false" ht="16.75" hidden="false" customHeight="false" outlineLevel="0" collapsed="false">
      <c r="B44" s="4"/>
      <c r="C44" s="5" t="n">
        <v>63</v>
      </c>
      <c r="D44" s="0" t="n">
        <v>386.3</v>
      </c>
      <c r="E44" s="0" t="n">
        <v>385</v>
      </c>
      <c r="F44" s="0" t="n">
        <v>385.6</v>
      </c>
      <c r="G44" s="0" t="n">
        <v>384.9</v>
      </c>
      <c r="H44" s="0" t="n">
        <v>384.4</v>
      </c>
      <c r="I44" s="0" t="n">
        <v>405.5</v>
      </c>
      <c r="J44" s="0" t="n">
        <v>383.5</v>
      </c>
      <c r="K44" s="0" t="n">
        <v>385.7</v>
      </c>
      <c r="L44" s="0" t="n">
        <v>391.3</v>
      </c>
      <c r="M44" s="0" t="n">
        <v>387.1</v>
      </c>
      <c r="N44" s="0" t="n">
        <v>390.1</v>
      </c>
      <c r="O44" s="0" t="n">
        <v>381.5</v>
      </c>
      <c r="P44" s="0" t="n">
        <v>390</v>
      </c>
      <c r="Q44" s="0" t="n">
        <v>383.9</v>
      </c>
      <c r="R44" s="0" t="n">
        <v>389.8</v>
      </c>
      <c r="S44" s="0" t="n">
        <v>381.5</v>
      </c>
      <c r="T44" s="0" t="n">
        <v>388.5</v>
      </c>
      <c r="U44" s="0" t="n">
        <v>390.9</v>
      </c>
      <c r="V44" s="0" t="n">
        <v>383.8</v>
      </c>
      <c r="W44" s="0" t="n">
        <v>382.7</v>
      </c>
      <c r="X44" s="6" t="n">
        <f aca="false">AVERAGE(D44:W44)</f>
        <v>387.1</v>
      </c>
      <c r="Y44" s="7" t="n">
        <f aca="false">_xlfn.STDEV.S(D44:W44)</f>
        <v>5.30570695721027</v>
      </c>
      <c r="Z44" s="7" t="n">
        <f aca="false">Y44/X44</f>
        <v>0.0137062954203314</v>
      </c>
    </row>
    <row r="45" customFormat="false" ht="16.75" hidden="false" customHeight="false" outlineLevel="0" collapsed="false">
      <c r="B45" s="4"/>
      <c r="C45" s="5" t="n">
        <v>93</v>
      </c>
      <c r="D45" s="0" t="n">
        <v>395.6</v>
      </c>
      <c r="E45" s="0" t="n">
        <v>389</v>
      </c>
      <c r="F45" s="0" t="n">
        <v>390.6</v>
      </c>
      <c r="G45" s="0" t="n">
        <v>388.8</v>
      </c>
      <c r="H45" s="0" t="n">
        <v>391.4</v>
      </c>
      <c r="I45" s="0" t="n">
        <v>385.8</v>
      </c>
      <c r="J45" s="0" t="n">
        <v>387.8</v>
      </c>
      <c r="K45" s="0" t="n">
        <v>390.2</v>
      </c>
      <c r="L45" s="0" t="n">
        <v>387.3</v>
      </c>
      <c r="M45" s="0" t="n">
        <v>389.2</v>
      </c>
      <c r="N45" s="0" t="n">
        <v>390.2</v>
      </c>
      <c r="O45" s="0" t="n">
        <v>391.7</v>
      </c>
      <c r="P45" s="0" t="n">
        <v>391.4</v>
      </c>
      <c r="Q45" s="0" t="n">
        <v>396.5</v>
      </c>
      <c r="R45" s="0" t="n">
        <v>390.3</v>
      </c>
      <c r="S45" s="0" t="n">
        <v>392.2</v>
      </c>
      <c r="T45" s="0" t="n">
        <v>389.7</v>
      </c>
      <c r="U45" s="0" t="n">
        <v>387.8</v>
      </c>
      <c r="V45" s="0" t="n">
        <v>387.8</v>
      </c>
      <c r="W45" s="0" t="n">
        <v>389.7</v>
      </c>
      <c r="X45" s="6" t="n">
        <f aca="false">AVERAGE(D45:W45)</f>
        <v>390.15</v>
      </c>
      <c r="Y45" s="7" t="n">
        <f aca="false">_xlfn.STDEV.S(D45:W45)</f>
        <v>2.59604963053685</v>
      </c>
      <c r="Z45" s="7" t="n">
        <f aca="false">Y45/X45</f>
        <v>0.00665397829177714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314.5</v>
      </c>
      <c r="E46" s="0" t="n">
        <v>332.5</v>
      </c>
      <c r="F46" s="0" t="n">
        <v>337.6</v>
      </c>
      <c r="G46" s="0" t="n">
        <v>342.4</v>
      </c>
      <c r="H46" s="0" t="n">
        <v>325.4</v>
      </c>
      <c r="I46" s="0" t="n">
        <v>325.5</v>
      </c>
      <c r="J46" s="0" t="n">
        <v>328.1</v>
      </c>
      <c r="K46" s="0" t="n">
        <v>342.6</v>
      </c>
      <c r="L46" s="0" t="n">
        <v>330.9</v>
      </c>
      <c r="M46" s="0" t="n">
        <v>344.1</v>
      </c>
      <c r="N46" s="0" t="n">
        <v>337.2</v>
      </c>
      <c r="O46" s="0" t="n">
        <v>323.1</v>
      </c>
      <c r="P46" s="0" t="n">
        <v>333.1</v>
      </c>
      <c r="Q46" s="0" t="n">
        <v>343.2</v>
      </c>
      <c r="R46" s="0" t="n">
        <v>334.8</v>
      </c>
      <c r="S46" s="0" t="n">
        <v>339.5</v>
      </c>
      <c r="T46" s="0" t="n">
        <v>334.8</v>
      </c>
      <c r="U46" s="0" t="n">
        <v>339.6</v>
      </c>
      <c r="V46" s="0" t="n">
        <v>341.8</v>
      </c>
      <c r="W46" s="0" t="n">
        <v>335.7</v>
      </c>
      <c r="X46" s="6" t="n">
        <f aca="false">AVERAGE(D46:W46)</f>
        <v>334.32</v>
      </c>
      <c r="Y46" s="7" t="n">
        <f aca="false">_xlfn.STDEV.S(D46:W46)</f>
        <v>7.85289755440627</v>
      </c>
      <c r="Z46" s="7" t="n">
        <f aca="false">Y46/X46</f>
        <v>0.0234891647356014</v>
      </c>
    </row>
    <row r="47" customFormat="false" ht="16.75" hidden="false" customHeight="false" outlineLevel="0" collapsed="false">
      <c r="B47" s="4"/>
      <c r="C47" s="5" t="n">
        <v>38</v>
      </c>
      <c r="D47" s="0" t="n">
        <v>357.7</v>
      </c>
      <c r="E47" s="0" t="n">
        <v>358.1</v>
      </c>
      <c r="F47" s="0" t="n">
        <v>368.2</v>
      </c>
      <c r="G47" s="0" t="n">
        <v>361.3</v>
      </c>
      <c r="H47" s="0" t="n">
        <v>350</v>
      </c>
      <c r="I47" s="0" t="n">
        <v>351.8</v>
      </c>
      <c r="J47" s="0" t="n">
        <v>365</v>
      </c>
      <c r="K47" s="0" t="n">
        <v>360.7</v>
      </c>
      <c r="L47" s="0" t="n">
        <v>358.1</v>
      </c>
      <c r="M47" s="0" t="n">
        <v>354.4</v>
      </c>
      <c r="N47" s="0" t="n">
        <v>359</v>
      </c>
      <c r="O47" s="0" t="n">
        <v>360.9</v>
      </c>
      <c r="P47" s="0" t="n">
        <v>358.5</v>
      </c>
      <c r="Q47" s="0" t="n">
        <v>352.8</v>
      </c>
      <c r="R47" s="0" t="n">
        <v>355.5</v>
      </c>
      <c r="S47" s="0" t="n">
        <v>358.2</v>
      </c>
      <c r="T47" s="0" t="n">
        <v>361.1</v>
      </c>
      <c r="U47" s="0" t="n">
        <v>356.4</v>
      </c>
      <c r="V47" s="0" t="n">
        <v>353.9</v>
      </c>
      <c r="W47" s="0" t="n">
        <v>360.6</v>
      </c>
      <c r="X47" s="6" t="n">
        <f aca="false">AVERAGE(D47:W47)</f>
        <v>358.11</v>
      </c>
      <c r="Y47" s="7" t="n">
        <f aca="false">_xlfn.STDEV.S(D47:W47)</f>
        <v>4.38429013638468</v>
      </c>
      <c r="Z47" s="7" t="n">
        <f aca="false">Y47/X47</f>
        <v>0.0122428587204621</v>
      </c>
    </row>
    <row r="48" customFormat="false" ht="16.75" hidden="false" customHeight="false" outlineLevel="0" collapsed="false">
      <c r="B48" s="4"/>
      <c r="C48" s="5" t="n">
        <v>50</v>
      </c>
      <c r="D48" s="0" t="n">
        <v>359</v>
      </c>
      <c r="E48" s="0" t="n">
        <v>363.6</v>
      </c>
      <c r="F48" s="0" t="n">
        <v>383.1</v>
      </c>
      <c r="G48" s="0" t="n">
        <v>359.9</v>
      </c>
      <c r="H48" s="0" t="n">
        <v>362.2</v>
      </c>
      <c r="I48" s="0" t="n">
        <v>358.6</v>
      </c>
      <c r="J48" s="0" t="n">
        <v>365.2</v>
      </c>
      <c r="K48" s="0" t="n">
        <v>360.8</v>
      </c>
      <c r="L48" s="0" t="n">
        <v>355.6</v>
      </c>
      <c r="M48" s="0" t="n">
        <v>359.1</v>
      </c>
      <c r="N48" s="0" t="n">
        <v>357.3</v>
      </c>
      <c r="O48" s="0" t="n">
        <v>364.7</v>
      </c>
      <c r="P48" s="0" t="n">
        <v>359.5</v>
      </c>
      <c r="Q48" s="0" t="n">
        <v>361.7</v>
      </c>
      <c r="R48" s="0" t="n">
        <v>358.4</v>
      </c>
      <c r="S48" s="0" t="n">
        <v>355.5</v>
      </c>
      <c r="T48" s="0" t="n">
        <v>358.3</v>
      </c>
      <c r="U48" s="0" t="n">
        <v>363</v>
      </c>
      <c r="V48" s="0" t="n">
        <v>362.3</v>
      </c>
      <c r="W48" s="0" t="n">
        <v>352.5</v>
      </c>
      <c r="X48" s="6" t="n">
        <f aca="false">AVERAGE(D48:W48)</f>
        <v>361.015</v>
      </c>
      <c r="Y48" s="7" t="n">
        <f aca="false">_xlfn.STDEV.S(D48:W48)</f>
        <v>6.11463085773097</v>
      </c>
      <c r="Z48" s="7" t="n">
        <f aca="false">Y48/X48</f>
        <v>0.0169373318497319</v>
      </c>
    </row>
    <row r="49" customFormat="false" ht="16.75" hidden="false" customHeight="false" outlineLevel="0" collapsed="false">
      <c r="B49" s="4"/>
      <c r="C49" s="5" t="n">
        <v>75</v>
      </c>
      <c r="D49" s="0" t="n">
        <v>359</v>
      </c>
      <c r="E49" s="0" t="n">
        <v>360.9</v>
      </c>
      <c r="F49" s="0" t="n">
        <v>361.8</v>
      </c>
      <c r="G49" s="0" t="n">
        <v>356.6</v>
      </c>
      <c r="H49" s="0" t="n">
        <v>359.5</v>
      </c>
      <c r="I49" s="0" t="n">
        <v>357</v>
      </c>
      <c r="J49" s="0" t="n">
        <v>357</v>
      </c>
      <c r="K49" s="0" t="n">
        <v>369.3</v>
      </c>
      <c r="L49" s="0" t="n">
        <v>357.7</v>
      </c>
      <c r="M49" s="0" t="n">
        <v>355.7</v>
      </c>
      <c r="N49" s="0" t="n">
        <v>356.9</v>
      </c>
      <c r="O49" s="0" t="n">
        <v>381.8</v>
      </c>
      <c r="P49" s="0" t="n">
        <v>359</v>
      </c>
      <c r="Q49" s="0" t="n">
        <v>363</v>
      </c>
      <c r="R49" s="0" t="n">
        <v>358.8</v>
      </c>
      <c r="S49" s="0" t="n">
        <v>373.6</v>
      </c>
      <c r="T49" s="0" t="n">
        <v>352.5</v>
      </c>
      <c r="U49" s="0" t="n">
        <v>357.2</v>
      </c>
      <c r="V49" s="0" t="n">
        <v>366.4</v>
      </c>
      <c r="W49" s="0" t="n">
        <v>354</v>
      </c>
      <c r="X49" s="6" t="n">
        <f aca="false">AVERAGE(D49:W49)</f>
        <v>360.885</v>
      </c>
      <c r="Y49" s="7" t="n">
        <f aca="false">_xlfn.STDEV.S(D49:W49)</f>
        <v>7.07763527264804</v>
      </c>
      <c r="Z49" s="7" t="n">
        <f aca="false">Y49/X49</f>
        <v>0.019611885427901</v>
      </c>
    </row>
    <row r="50" customFormat="false" ht="16.75" hidden="false" customHeight="false" outlineLevel="0" collapsed="false">
      <c r="B50" s="4"/>
      <c r="C50" s="5" t="n">
        <v>100</v>
      </c>
      <c r="D50" s="0" t="n">
        <v>371.4</v>
      </c>
      <c r="E50" s="0" t="n">
        <v>353.7</v>
      </c>
      <c r="F50" s="0" t="n">
        <v>364.2</v>
      </c>
      <c r="G50" s="0" t="n">
        <v>352.3</v>
      </c>
      <c r="H50" s="0" t="n">
        <v>353.9</v>
      </c>
      <c r="I50" s="0" t="n">
        <v>366.6</v>
      </c>
      <c r="J50" s="0" t="n">
        <v>356.3</v>
      </c>
      <c r="K50" s="0" t="n">
        <v>373.6</v>
      </c>
      <c r="L50" s="0" t="n">
        <v>355.1</v>
      </c>
      <c r="M50" s="0" t="n">
        <v>356.1</v>
      </c>
      <c r="N50" s="0" t="n">
        <v>356.8</v>
      </c>
      <c r="O50" s="0" t="n">
        <v>357.4</v>
      </c>
      <c r="P50" s="0" t="n">
        <v>365.6</v>
      </c>
      <c r="Q50" s="0" t="n">
        <v>350.2</v>
      </c>
      <c r="R50" s="0" t="n">
        <v>361.1</v>
      </c>
      <c r="S50" s="0" t="n">
        <v>365</v>
      </c>
      <c r="T50" s="0" t="n">
        <v>369.4</v>
      </c>
      <c r="U50" s="0" t="n">
        <v>364.4</v>
      </c>
      <c r="V50" s="0" t="n">
        <v>363.4</v>
      </c>
      <c r="W50" s="0" t="n">
        <v>367.8</v>
      </c>
      <c r="X50" s="6" t="n">
        <f aca="false">AVERAGE(D50:W50)</f>
        <v>361.215</v>
      </c>
      <c r="Y50" s="7" t="n">
        <f aca="false">_xlfn.STDEV.S(D50:W50)</f>
        <v>6.8303714162709</v>
      </c>
      <c r="Z50" s="7" t="n">
        <f aca="false">Y50/X50</f>
        <v>0.0189094345923367</v>
      </c>
    </row>
    <row r="51" customFormat="false" ht="16.75" hidden="false" customHeight="false" outlineLevel="0" collapsed="false">
      <c r="B51" s="4"/>
      <c r="C51" s="5" t="n">
        <v>150</v>
      </c>
      <c r="D51" s="0" t="n">
        <v>383</v>
      </c>
      <c r="E51" s="0" t="n">
        <v>363.5</v>
      </c>
      <c r="F51" s="0" t="n">
        <v>366.2</v>
      </c>
      <c r="G51" s="0" t="n">
        <v>387.7</v>
      </c>
      <c r="H51" s="0" t="n">
        <v>384.9</v>
      </c>
      <c r="I51" s="0" t="n">
        <v>386.5</v>
      </c>
      <c r="J51" s="0" t="n">
        <v>392.4</v>
      </c>
      <c r="K51" s="0" t="n">
        <v>380.4</v>
      </c>
      <c r="L51" s="0" t="n">
        <v>390.6</v>
      </c>
      <c r="M51" s="0" t="n">
        <v>370.9</v>
      </c>
      <c r="N51" s="0" t="n">
        <v>364</v>
      </c>
      <c r="O51" s="0" t="n">
        <v>370.2</v>
      </c>
      <c r="P51" s="0" t="n">
        <v>376.2</v>
      </c>
      <c r="Q51" s="0" t="n">
        <v>356.9</v>
      </c>
      <c r="R51" s="0" t="n">
        <v>382.2</v>
      </c>
      <c r="S51" s="0" t="n">
        <v>382.1</v>
      </c>
      <c r="T51" s="0" t="n">
        <v>378.2</v>
      </c>
      <c r="U51" s="0" t="n">
        <v>381.3</v>
      </c>
      <c r="V51" s="0" t="n">
        <v>349.9</v>
      </c>
      <c r="W51" s="0" t="n">
        <v>390.2</v>
      </c>
      <c r="X51" s="6" t="n">
        <f aca="false">AVERAGE(D51:W51)</f>
        <v>376.865</v>
      </c>
      <c r="Y51" s="7" t="n">
        <f aca="false">_xlfn.STDEV.S(D51:W51)</f>
        <v>11.8634456253343</v>
      </c>
      <c r="Z51" s="7" t="n">
        <f aca="false">Y51/X51</f>
        <v>0.0314792979590418</v>
      </c>
    </row>
    <row r="52" customFormat="false" ht="15" hidden="false" customHeight="true" outlineLevel="0" collapsed="false">
      <c r="A52" s="1" t="s">
        <v>36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400.4</v>
      </c>
      <c r="E57" s="0" t="n">
        <v>400.6</v>
      </c>
      <c r="F57" s="0" t="n">
        <v>397.7</v>
      </c>
      <c r="G57" s="0" t="n">
        <v>399.7</v>
      </c>
      <c r="H57" s="0" t="n">
        <v>398.2</v>
      </c>
      <c r="I57" s="0" t="n">
        <v>396.5</v>
      </c>
      <c r="J57" s="0" t="n">
        <v>402.4</v>
      </c>
      <c r="K57" s="0" t="n">
        <v>400.7</v>
      </c>
      <c r="L57" s="0" t="n">
        <v>399.2</v>
      </c>
      <c r="M57" s="0" t="n">
        <v>399.2</v>
      </c>
      <c r="N57" s="0" t="n">
        <v>400.7</v>
      </c>
      <c r="O57" s="0" t="n">
        <v>396.6</v>
      </c>
      <c r="P57" s="0" t="n">
        <v>402</v>
      </c>
      <c r="Q57" s="0" t="n">
        <v>399.9</v>
      </c>
      <c r="R57" s="0" t="n">
        <v>398.7</v>
      </c>
      <c r="S57" s="0" t="n">
        <v>397.7</v>
      </c>
      <c r="T57" s="0" t="n">
        <v>401.7</v>
      </c>
      <c r="U57" s="0" t="n">
        <v>400</v>
      </c>
      <c r="V57" s="0" t="n">
        <v>404.3</v>
      </c>
      <c r="W57" s="0" t="n">
        <v>401.2</v>
      </c>
      <c r="X57" s="6" t="n">
        <f aca="false">AVERAGE(D57:W57)</f>
        <v>399.87</v>
      </c>
      <c r="Y57" s="7" t="n">
        <f aca="false">_xlfn.STDEV.S(D57:W57)</f>
        <v>1.97939384661062</v>
      </c>
      <c r="Z57" s="7" t="n">
        <f aca="false">Y57/X57</f>
        <v>0.00495009339688054</v>
      </c>
    </row>
    <row r="58" customFormat="false" ht="16.75" hidden="false" customHeight="false" outlineLevel="0" collapsed="false">
      <c r="B58" s="4"/>
      <c r="C58" s="5" t="n">
        <v>25</v>
      </c>
      <c r="D58" s="0" t="n">
        <v>401.7</v>
      </c>
      <c r="E58" s="0" t="n">
        <v>403.3</v>
      </c>
      <c r="F58" s="0" t="n">
        <v>402.1</v>
      </c>
      <c r="G58" s="0" t="n">
        <v>398.8</v>
      </c>
      <c r="H58" s="0" t="n">
        <v>401.4</v>
      </c>
      <c r="I58" s="0" t="n">
        <v>401.8</v>
      </c>
      <c r="J58" s="0" t="n">
        <v>395.3</v>
      </c>
      <c r="K58" s="0" t="n">
        <v>399.3</v>
      </c>
      <c r="L58" s="0" t="n">
        <v>399.1</v>
      </c>
      <c r="M58" s="0" t="n">
        <v>399.9</v>
      </c>
      <c r="N58" s="0" t="n">
        <v>399.6</v>
      </c>
      <c r="O58" s="0" t="n">
        <v>406</v>
      </c>
      <c r="P58" s="0" t="n">
        <v>405.6</v>
      </c>
      <c r="Q58" s="0" t="n">
        <v>401.3</v>
      </c>
      <c r="R58" s="0" t="n">
        <v>400.8</v>
      </c>
      <c r="S58" s="0" t="n">
        <v>403.2</v>
      </c>
      <c r="T58" s="0" t="n">
        <v>399.5</v>
      </c>
      <c r="U58" s="0" t="n">
        <v>405.7</v>
      </c>
      <c r="V58" s="0" t="n">
        <v>400.9</v>
      </c>
      <c r="W58" s="0" t="n">
        <v>399.2</v>
      </c>
      <c r="X58" s="6" t="n">
        <f aca="false">AVERAGE(D58:W58)</f>
        <v>401.225</v>
      </c>
      <c r="Y58" s="7" t="n">
        <f aca="false">_xlfn.STDEV.S(D58:W58)</f>
        <v>2.64074849835779</v>
      </c>
      <c r="Z58" s="7" t="n">
        <f aca="false">Y58/X58</f>
        <v>0.00658171474448948</v>
      </c>
    </row>
    <row r="59" customFormat="false" ht="16.75" hidden="false" customHeight="false" outlineLevel="0" collapsed="false">
      <c r="B59" s="4"/>
      <c r="C59" s="5" t="n">
        <v>38</v>
      </c>
      <c r="D59" s="0" t="n">
        <v>396.7</v>
      </c>
      <c r="E59" s="0" t="n">
        <v>399.4</v>
      </c>
      <c r="F59" s="0" t="n">
        <v>395.4</v>
      </c>
      <c r="G59" s="0" t="n">
        <v>397.7</v>
      </c>
      <c r="H59" s="0" t="n">
        <v>400</v>
      </c>
      <c r="I59" s="0" t="n">
        <v>398.7</v>
      </c>
      <c r="J59" s="0" t="n">
        <v>402.2</v>
      </c>
      <c r="K59" s="0" t="n">
        <v>400</v>
      </c>
      <c r="L59" s="0" t="n">
        <v>398.5</v>
      </c>
      <c r="M59" s="0" t="n">
        <v>393.9</v>
      </c>
      <c r="N59" s="0" t="n">
        <v>393.8</v>
      </c>
      <c r="O59" s="0" t="n">
        <v>401.5</v>
      </c>
      <c r="P59" s="0" t="n">
        <v>396.5</v>
      </c>
      <c r="Q59" s="0" t="n">
        <v>395.8</v>
      </c>
      <c r="R59" s="0" t="n">
        <v>409.8</v>
      </c>
      <c r="S59" s="0" t="n">
        <v>399.7</v>
      </c>
      <c r="T59" s="0" t="n">
        <v>408.8</v>
      </c>
      <c r="U59" s="0" t="n">
        <v>401.2</v>
      </c>
      <c r="V59" s="0" t="n">
        <v>397.3</v>
      </c>
      <c r="W59" s="0" t="n">
        <v>393.6</v>
      </c>
      <c r="X59" s="6" t="n">
        <f aca="false">AVERAGE(D59:W59)</f>
        <v>399.025</v>
      </c>
      <c r="Y59" s="7" t="n">
        <f aca="false">_xlfn.STDEV.S(D59:W59)</f>
        <v>4.34388559992815</v>
      </c>
      <c r="Z59" s="7" t="n">
        <f aca="false">Y59/X59</f>
        <v>0.0108862492323242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373</v>
      </c>
      <c r="E60" s="0" t="n">
        <v>379</v>
      </c>
      <c r="F60" s="0" t="n">
        <v>379.4</v>
      </c>
      <c r="G60" s="0" t="n">
        <v>380.4</v>
      </c>
      <c r="H60" s="0" t="n">
        <v>375</v>
      </c>
      <c r="I60" s="0" t="n">
        <v>376.4</v>
      </c>
      <c r="J60" s="0" t="n">
        <v>378.1</v>
      </c>
      <c r="K60" s="0" t="n">
        <v>375.9</v>
      </c>
      <c r="L60" s="0" t="n">
        <v>377.9</v>
      </c>
      <c r="M60" s="0" t="n">
        <v>377.9</v>
      </c>
      <c r="N60" s="0" t="n">
        <v>377.5</v>
      </c>
      <c r="O60" s="0" t="n">
        <v>376</v>
      </c>
      <c r="P60" s="0" t="n">
        <v>377.9</v>
      </c>
      <c r="Q60" s="0" t="n">
        <v>371.2</v>
      </c>
      <c r="R60" s="0" t="n">
        <v>382.2</v>
      </c>
      <c r="S60" s="0" t="n">
        <v>370</v>
      </c>
      <c r="T60" s="0" t="n">
        <v>369.7</v>
      </c>
      <c r="U60" s="0" t="n">
        <v>378.6</v>
      </c>
      <c r="V60" s="0" t="n">
        <v>375.5</v>
      </c>
      <c r="W60" s="0" t="n">
        <v>378</v>
      </c>
      <c r="X60" s="6" t="n">
        <f aca="false">AVERAGE(D60:W60)</f>
        <v>376.48</v>
      </c>
      <c r="Y60" s="7" t="n">
        <f aca="false">_xlfn.STDEV.S(D60:W60)</f>
        <v>3.33365612472173</v>
      </c>
      <c r="Z60" s="7" t="n">
        <f aca="false">Y60/X60</f>
        <v>0.00885480271122433</v>
      </c>
    </row>
    <row r="61" customFormat="false" ht="16.75" hidden="false" customHeight="false" outlineLevel="0" collapsed="false">
      <c r="B61" s="4"/>
      <c r="C61" s="5" t="n">
        <v>63</v>
      </c>
      <c r="D61" s="0" t="n">
        <v>359</v>
      </c>
      <c r="E61" s="0" t="n">
        <v>361.1</v>
      </c>
      <c r="F61" s="0" t="n">
        <v>359.6</v>
      </c>
      <c r="G61" s="0" t="n">
        <v>357.9</v>
      </c>
      <c r="H61" s="0" t="n">
        <v>357.5</v>
      </c>
      <c r="I61" s="0" t="n">
        <v>360.7</v>
      </c>
      <c r="J61" s="0" t="n">
        <v>364.4</v>
      </c>
      <c r="K61" s="0" t="n">
        <v>359.3</v>
      </c>
      <c r="L61" s="0" t="n">
        <v>351.8</v>
      </c>
      <c r="M61" s="0" t="n">
        <v>352.9</v>
      </c>
      <c r="N61" s="0" t="n">
        <v>359.6</v>
      </c>
      <c r="O61" s="0" t="n">
        <v>360.1</v>
      </c>
      <c r="P61" s="0" t="n">
        <v>356.7</v>
      </c>
      <c r="Q61" s="0" t="n">
        <v>358.5</v>
      </c>
      <c r="R61" s="0" t="n">
        <v>354.7</v>
      </c>
      <c r="S61" s="0" t="n">
        <v>357.8</v>
      </c>
      <c r="T61" s="0" t="n">
        <v>358.5</v>
      </c>
      <c r="U61" s="0" t="n">
        <v>353</v>
      </c>
      <c r="V61" s="0" t="n">
        <v>352.5</v>
      </c>
      <c r="W61" s="0" t="n">
        <v>354.7</v>
      </c>
      <c r="X61" s="6" t="n">
        <f aca="false">AVERAGE(D61:W61)</f>
        <v>357.515</v>
      </c>
      <c r="Y61" s="7" t="n">
        <f aca="false">_xlfn.STDEV.S(D61:W61)</f>
        <v>3.31936503122605</v>
      </c>
      <c r="Z61" s="7" t="n">
        <f aca="false">Y61/X61</f>
        <v>0.00928454758884537</v>
      </c>
    </row>
    <row r="62" customFormat="false" ht="16.75" hidden="false" customHeight="false" outlineLevel="0" collapsed="false">
      <c r="B62" s="4"/>
      <c r="C62" s="5" t="n">
        <v>93</v>
      </c>
      <c r="D62" s="0" t="n">
        <v>391.2</v>
      </c>
      <c r="E62" s="0" t="n">
        <v>393.1</v>
      </c>
      <c r="F62" s="0" t="n">
        <v>393</v>
      </c>
      <c r="G62" s="0" t="n">
        <v>394.4</v>
      </c>
      <c r="H62" s="0" t="n">
        <v>393.4</v>
      </c>
      <c r="I62" s="0" t="n">
        <v>394.1</v>
      </c>
      <c r="J62" s="0" t="n">
        <v>391.6</v>
      </c>
      <c r="K62" s="0" t="n">
        <v>395.8</v>
      </c>
      <c r="L62" s="0" t="n">
        <v>398</v>
      </c>
      <c r="M62" s="0" t="n">
        <v>394.2</v>
      </c>
      <c r="N62" s="0" t="n">
        <v>395.1</v>
      </c>
      <c r="O62" s="0" t="n">
        <v>395.6</v>
      </c>
      <c r="P62" s="0" t="n">
        <v>396.2</v>
      </c>
      <c r="Q62" s="0" t="n">
        <v>394.8</v>
      </c>
      <c r="R62" s="0" t="n">
        <v>390.7</v>
      </c>
      <c r="S62" s="0" t="n">
        <v>395</v>
      </c>
      <c r="T62" s="0" t="n">
        <v>395.3</v>
      </c>
      <c r="U62" s="0" t="n">
        <v>389.6</v>
      </c>
      <c r="V62" s="0" t="n">
        <v>388.9</v>
      </c>
      <c r="W62" s="0" t="n">
        <v>395.1</v>
      </c>
      <c r="X62" s="6" t="n">
        <f aca="false">AVERAGE(D62:W62)</f>
        <v>393.755</v>
      </c>
      <c r="Y62" s="7" t="n">
        <f aca="false">_xlfn.STDEV.S(D62:W62)</f>
        <v>2.33316478087958</v>
      </c>
      <c r="Z62" s="7" t="n">
        <f aca="false">Y62/X62</f>
        <v>0.00592542261274036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335.7</v>
      </c>
      <c r="E63" s="0" t="n">
        <v>327.8</v>
      </c>
      <c r="F63" s="0" t="n">
        <v>335.3</v>
      </c>
      <c r="G63" s="0" t="n">
        <v>332.3</v>
      </c>
      <c r="H63" s="0" t="n">
        <v>331.7</v>
      </c>
      <c r="I63" s="0" t="n">
        <v>332.2</v>
      </c>
      <c r="J63" s="0" t="n">
        <v>336.9</v>
      </c>
      <c r="K63" s="0" t="n">
        <v>327.9</v>
      </c>
      <c r="L63" s="0" t="n">
        <v>323.2</v>
      </c>
      <c r="M63" s="0" t="n">
        <v>335.8</v>
      </c>
      <c r="N63" s="0" t="n">
        <v>328.1</v>
      </c>
      <c r="O63" s="0" t="n">
        <v>342</v>
      </c>
      <c r="P63" s="0" t="n">
        <v>337.2</v>
      </c>
      <c r="Q63" s="0" t="n">
        <v>339.1</v>
      </c>
      <c r="R63" s="0" t="n">
        <v>328.7</v>
      </c>
      <c r="S63" s="0" t="n">
        <v>331.3</v>
      </c>
      <c r="T63" s="0" t="n">
        <v>333</v>
      </c>
      <c r="U63" s="0" t="n">
        <v>334.8</v>
      </c>
      <c r="V63" s="0" t="n">
        <v>326.4</v>
      </c>
      <c r="W63" s="0" t="n">
        <v>334.1</v>
      </c>
      <c r="X63" s="6" t="n">
        <f aca="false">AVERAGE(D63:W63)</f>
        <v>332.675</v>
      </c>
      <c r="Y63" s="7" t="n">
        <f aca="false">_xlfn.STDEV.S(D63:W63)</f>
        <v>4.67173753318264</v>
      </c>
      <c r="Z63" s="7" t="n">
        <f aca="false">Y63/X63</f>
        <v>0.0140429474207038</v>
      </c>
    </row>
    <row r="64" customFormat="false" ht="16.75" hidden="false" customHeight="false" outlineLevel="0" collapsed="false">
      <c r="B64" s="4"/>
      <c r="C64" s="5" t="n">
        <v>38</v>
      </c>
      <c r="D64" s="0" t="n">
        <v>344.3</v>
      </c>
      <c r="E64" s="0" t="n">
        <v>348.9</v>
      </c>
      <c r="F64" s="0" t="n">
        <v>337.2</v>
      </c>
      <c r="G64" s="0" t="n">
        <v>361.6</v>
      </c>
      <c r="H64" s="0" t="n">
        <v>350.3</v>
      </c>
      <c r="I64" s="0" t="n">
        <v>351</v>
      </c>
      <c r="J64" s="0" t="n">
        <v>349.5</v>
      </c>
      <c r="K64" s="0" t="n">
        <v>345.6</v>
      </c>
      <c r="L64" s="0" t="n">
        <v>345.4</v>
      </c>
      <c r="M64" s="0" t="n">
        <v>353</v>
      </c>
      <c r="N64" s="0" t="n">
        <v>349.5</v>
      </c>
      <c r="O64" s="0" t="n">
        <v>347.8</v>
      </c>
      <c r="P64" s="0" t="n">
        <v>343.9</v>
      </c>
      <c r="Q64" s="0" t="n">
        <v>335.1</v>
      </c>
      <c r="R64" s="0" t="n">
        <v>343.3</v>
      </c>
      <c r="S64" s="0" t="n">
        <v>339</v>
      </c>
      <c r="T64" s="0" t="n">
        <v>345.9</v>
      </c>
      <c r="U64" s="0" t="n">
        <v>348.6</v>
      </c>
      <c r="V64" s="0" t="n">
        <v>347.8</v>
      </c>
      <c r="W64" s="0" t="n">
        <v>341.3</v>
      </c>
      <c r="X64" s="6" t="n">
        <f aca="false">AVERAGE(D64:W64)</f>
        <v>346.45</v>
      </c>
      <c r="Y64" s="7" t="n">
        <f aca="false">_xlfn.STDEV.S(D64:W64)</f>
        <v>5.89562728237052</v>
      </c>
      <c r="Z64" s="7" t="n">
        <f aca="false">Y64/X64</f>
        <v>0.0170172529437741</v>
      </c>
    </row>
    <row r="65" customFormat="false" ht="16.75" hidden="false" customHeight="false" outlineLevel="0" collapsed="false">
      <c r="B65" s="4"/>
      <c r="C65" s="5" t="n">
        <v>50</v>
      </c>
      <c r="D65" s="0" t="n">
        <v>355.3</v>
      </c>
      <c r="E65" s="0" t="n">
        <v>347.9</v>
      </c>
      <c r="F65" s="0" t="n">
        <v>347.3</v>
      </c>
      <c r="G65" s="0" t="n">
        <v>345.6</v>
      </c>
      <c r="H65" s="0" t="n">
        <v>354.8</v>
      </c>
      <c r="I65" s="0" t="n">
        <v>345.7</v>
      </c>
      <c r="J65" s="0" t="n">
        <v>348.3</v>
      </c>
      <c r="K65" s="0" t="n">
        <v>356.4</v>
      </c>
      <c r="L65" s="0" t="n">
        <v>351.1</v>
      </c>
      <c r="M65" s="0" t="n">
        <v>348</v>
      </c>
      <c r="N65" s="0" t="n">
        <v>349.3</v>
      </c>
      <c r="O65" s="0" t="n">
        <v>358.2</v>
      </c>
      <c r="P65" s="0" t="n">
        <v>355.7</v>
      </c>
      <c r="Q65" s="0" t="n">
        <v>359.2</v>
      </c>
      <c r="R65" s="0" t="n">
        <v>349.5</v>
      </c>
      <c r="S65" s="0" t="n">
        <v>414.7</v>
      </c>
      <c r="T65" s="0" t="n">
        <v>347.3</v>
      </c>
      <c r="U65" s="0" t="n">
        <v>354.8</v>
      </c>
      <c r="V65" s="0" t="n">
        <v>350.4</v>
      </c>
      <c r="W65" s="0" t="n">
        <v>358.4</v>
      </c>
      <c r="X65" s="6" t="n">
        <f aca="false">AVERAGE(D65:W65)</f>
        <v>354.895</v>
      </c>
      <c r="Y65" s="7" t="n">
        <f aca="false">_xlfn.STDEV.S(D65:W65)</f>
        <v>14.7661944995994</v>
      </c>
      <c r="Z65" s="7" t="n">
        <f aca="false">Y65/X65</f>
        <v>0.0416072204443551</v>
      </c>
    </row>
    <row r="66" customFormat="false" ht="16.75" hidden="false" customHeight="false" outlineLevel="0" collapsed="false">
      <c r="B66" s="4"/>
      <c r="C66" s="5" t="n">
        <v>75</v>
      </c>
      <c r="D66" s="0" t="n">
        <v>364.9</v>
      </c>
      <c r="E66" s="0" t="n">
        <v>369.4</v>
      </c>
      <c r="F66" s="0" t="n">
        <v>362.4</v>
      </c>
      <c r="G66" s="0" t="n">
        <v>372.5</v>
      </c>
      <c r="H66" s="0" t="n">
        <v>387</v>
      </c>
      <c r="I66" s="0" t="n">
        <v>360.6</v>
      </c>
      <c r="J66" s="0" t="n">
        <v>369.8</v>
      </c>
      <c r="K66" s="0" t="n">
        <v>369.5</v>
      </c>
      <c r="L66" s="0" t="n">
        <v>358.1</v>
      </c>
      <c r="M66" s="0" t="n">
        <v>364.7</v>
      </c>
      <c r="N66" s="0" t="n">
        <v>369.1</v>
      </c>
      <c r="O66" s="0" t="n">
        <v>359.1</v>
      </c>
      <c r="P66" s="0" t="n">
        <v>366.7</v>
      </c>
      <c r="Q66" s="0" t="n">
        <v>361.2</v>
      </c>
      <c r="R66" s="0" t="n">
        <v>368</v>
      </c>
      <c r="S66" s="0" t="n">
        <v>372.4</v>
      </c>
      <c r="T66" s="0" t="n">
        <v>372.2</v>
      </c>
      <c r="U66" s="0" t="n">
        <v>369.3</v>
      </c>
      <c r="V66" s="0" t="n">
        <v>362.9</v>
      </c>
      <c r="W66" s="0" t="n">
        <v>367.8</v>
      </c>
      <c r="X66" s="6" t="n">
        <f aca="false">AVERAGE(D66:W66)</f>
        <v>367.38</v>
      </c>
      <c r="Y66" s="7" t="n">
        <f aca="false">_xlfn.STDEV.S(D66:W66)</f>
        <v>6.40202270667967</v>
      </c>
      <c r="Z66" s="7" t="n">
        <f aca="false">Y66/X66</f>
        <v>0.0174261601248834</v>
      </c>
    </row>
    <row r="67" customFormat="false" ht="16.75" hidden="false" customHeight="false" outlineLevel="0" collapsed="false">
      <c r="B67" s="4"/>
      <c r="C67" s="5" t="n">
        <v>100</v>
      </c>
      <c r="D67" s="0" t="n">
        <v>367.2</v>
      </c>
      <c r="E67" s="0" t="n">
        <v>376.6</v>
      </c>
      <c r="F67" s="0" t="n">
        <v>363.9</v>
      </c>
      <c r="G67" s="0" t="n">
        <v>369</v>
      </c>
      <c r="H67" s="0" t="n">
        <v>371</v>
      </c>
      <c r="I67" s="0" t="n">
        <v>366</v>
      </c>
      <c r="J67" s="0" t="n">
        <v>371.8</v>
      </c>
      <c r="K67" s="0" t="n">
        <v>365.3</v>
      </c>
      <c r="L67" s="0" t="n">
        <v>368.4</v>
      </c>
      <c r="M67" s="0" t="n">
        <v>368.7</v>
      </c>
      <c r="N67" s="0" t="n">
        <v>368.7</v>
      </c>
      <c r="O67" s="0" t="n">
        <v>362.5</v>
      </c>
      <c r="P67" s="0" t="n">
        <v>362.7</v>
      </c>
      <c r="Q67" s="0" t="n">
        <v>368.8</v>
      </c>
      <c r="R67" s="0" t="n">
        <v>363.8</v>
      </c>
      <c r="S67" s="0" t="n">
        <v>365.2</v>
      </c>
      <c r="T67" s="0" t="n">
        <v>368.9</v>
      </c>
      <c r="U67" s="0" t="n">
        <v>364.7</v>
      </c>
      <c r="V67" s="0" t="n">
        <v>367.1</v>
      </c>
      <c r="W67" s="0" t="n">
        <v>365.1</v>
      </c>
      <c r="X67" s="6" t="n">
        <f aca="false">AVERAGE(D67:W67)</f>
        <v>367.27</v>
      </c>
      <c r="Y67" s="7" t="n">
        <f aca="false">_xlfn.STDEV.S(D67:W67)</f>
        <v>3.42592284916358</v>
      </c>
      <c r="Z67" s="7" t="n">
        <f aca="false">Y67/X67</f>
        <v>0.0093280770255223</v>
      </c>
    </row>
    <row r="68" customFormat="false" ht="16.75" hidden="false" customHeight="false" outlineLevel="0" collapsed="false">
      <c r="B68" s="4"/>
      <c r="C68" s="5" t="n">
        <v>150</v>
      </c>
      <c r="D68" s="0" t="n">
        <v>377.4</v>
      </c>
      <c r="E68" s="0" t="n">
        <v>378</v>
      </c>
      <c r="F68" s="0" t="n">
        <v>379.3</v>
      </c>
      <c r="G68" s="0" t="n">
        <v>382.1</v>
      </c>
      <c r="H68" s="0" t="n">
        <v>380.5</v>
      </c>
      <c r="I68" s="0" t="n">
        <v>410.5</v>
      </c>
      <c r="J68" s="0" t="n">
        <v>375.9</v>
      </c>
      <c r="K68" s="0" t="n">
        <v>376.4</v>
      </c>
      <c r="L68" s="0" t="n">
        <v>380.1</v>
      </c>
      <c r="M68" s="0" t="n">
        <v>382</v>
      </c>
      <c r="N68" s="0" t="n">
        <v>389.2</v>
      </c>
      <c r="O68" s="0" t="n">
        <v>379.4</v>
      </c>
      <c r="P68" s="0" t="n">
        <v>375.6</v>
      </c>
      <c r="Q68" s="0" t="n">
        <v>412.1</v>
      </c>
      <c r="R68" s="0" t="n">
        <v>378.7</v>
      </c>
      <c r="S68" s="0" t="n">
        <v>376.5</v>
      </c>
      <c r="T68" s="0" t="n">
        <v>382.2</v>
      </c>
      <c r="U68" s="0" t="n">
        <v>375.2</v>
      </c>
      <c r="V68" s="0" t="n">
        <v>382.7</v>
      </c>
      <c r="W68" s="0" t="n">
        <v>383.9</v>
      </c>
      <c r="X68" s="6" t="n">
        <f aca="false">AVERAGE(D68:W68)</f>
        <v>382.885</v>
      </c>
      <c r="Y68" s="7" t="n">
        <f aca="false">_xlfn.STDEV.S(D68:W68)</f>
        <v>10.2919628837263</v>
      </c>
      <c r="Z68" s="7" t="n">
        <f aca="false">Y68/X68</f>
        <v>0.0268800367831759</v>
      </c>
    </row>
    <row r="69" customFormat="false" ht="15" hidden="false" customHeight="true" outlineLevel="0" collapsed="false">
      <c r="A69" s="1" t="s">
        <v>36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404.9</v>
      </c>
      <c r="E74" s="0" t="n">
        <v>400.5</v>
      </c>
      <c r="F74" s="0" t="n">
        <v>400.7</v>
      </c>
      <c r="G74" s="0" t="n">
        <v>401.1</v>
      </c>
      <c r="H74" s="0" t="n">
        <v>404.9</v>
      </c>
      <c r="I74" s="0" t="n">
        <v>405.2</v>
      </c>
      <c r="J74" s="0" t="n">
        <v>404.3</v>
      </c>
      <c r="K74" s="0" t="n">
        <v>403</v>
      </c>
      <c r="L74" s="0" t="n">
        <v>403.9</v>
      </c>
      <c r="M74" s="0" t="n">
        <v>403.6</v>
      </c>
      <c r="N74" s="0" t="n">
        <v>404.8</v>
      </c>
      <c r="O74" s="0" t="n">
        <v>403.2</v>
      </c>
      <c r="P74" s="0" t="n">
        <v>404</v>
      </c>
      <c r="Q74" s="0" t="n">
        <v>397.2</v>
      </c>
      <c r="R74" s="0" t="n">
        <v>406.5</v>
      </c>
      <c r="S74" s="0" t="n">
        <v>402.8</v>
      </c>
      <c r="T74" s="0" t="n">
        <v>399.4</v>
      </c>
      <c r="U74" s="0" t="n">
        <v>404.1</v>
      </c>
      <c r="V74" s="0" t="n">
        <v>402.5</v>
      </c>
      <c r="W74" s="0" t="n">
        <v>401.8</v>
      </c>
      <c r="X74" s="6" t="n">
        <f aca="false">AVERAGE(D74:W74)</f>
        <v>402.92</v>
      </c>
      <c r="Y74" s="7" t="n">
        <f aca="false">_xlfn.STDEV.S(D74:W74)</f>
        <v>2.24794643127783</v>
      </c>
      <c r="Z74" s="7" t="n">
        <f aca="false">Y74/X74</f>
        <v>0.0055791383681074</v>
      </c>
    </row>
    <row r="75" customFormat="false" ht="16.75" hidden="false" customHeight="false" outlineLevel="0" collapsed="false">
      <c r="B75" s="4"/>
      <c r="C75" s="5" t="n">
        <v>25</v>
      </c>
      <c r="D75" s="0" t="n">
        <v>399.5</v>
      </c>
      <c r="E75" s="0" t="n">
        <v>396.1</v>
      </c>
      <c r="F75" s="0" t="n">
        <v>405.4</v>
      </c>
      <c r="G75" s="0" t="n">
        <v>397.6</v>
      </c>
      <c r="H75" s="0" t="n">
        <v>401.2</v>
      </c>
      <c r="I75" s="0" t="n">
        <v>400.7</v>
      </c>
      <c r="J75" s="0" t="n">
        <v>400.2</v>
      </c>
      <c r="K75" s="0" t="n">
        <v>404.6</v>
      </c>
      <c r="L75" s="0" t="n">
        <v>405.5</v>
      </c>
      <c r="M75" s="0" t="n">
        <v>401.8</v>
      </c>
      <c r="N75" s="0" t="n">
        <v>398.2</v>
      </c>
      <c r="O75" s="0" t="n">
        <v>403.3</v>
      </c>
      <c r="P75" s="0" t="n">
        <v>402.4</v>
      </c>
      <c r="Q75" s="0" t="n">
        <v>403.7</v>
      </c>
      <c r="R75" s="0" t="n">
        <v>401.5</v>
      </c>
      <c r="S75" s="0" t="n">
        <v>401.2</v>
      </c>
      <c r="T75" s="0" t="n">
        <v>405.2</v>
      </c>
      <c r="U75" s="0" t="n">
        <v>402.9</v>
      </c>
      <c r="V75" s="0" t="n">
        <v>404.6</v>
      </c>
      <c r="W75" s="0" t="n">
        <v>400.9</v>
      </c>
      <c r="X75" s="6" t="n">
        <f aca="false">AVERAGE(D75:W75)</f>
        <v>401.825</v>
      </c>
      <c r="Y75" s="7" t="n">
        <f aca="false">_xlfn.STDEV.S(D75:W75)</f>
        <v>2.66633495743936</v>
      </c>
      <c r="Z75" s="7" t="n">
        <f aca="false">Y75/X75</f>
        <v>0.00663556263905769</v>
      </c>
    </row>
    <row r="76" customFormat="false" ht="16.75" hidden="false" customHeight="false" outlineLevel="0" collapsed="false">
      <c r="B76" s="4"/>
      <c r="C76" s="5" t="n">
        <v>38</v>
      </c>
      <c r="D76" s="0" t="n">
        <v>402</v>
      </c>
      <c r="E76" s="0" t="n">
        <v>405.4</v>
      </c>
      <c r="F76" s="0" t="n">
        <v>405.5</v>
      </c>
      <c r="G76" s="0" t="n">
        <v>405.3</v>
      </c>
      <c r="H76" s="0" t="n">
        <v>410.9</v>
      </c>
      <c r="I76" s="0" t="n">
        <v>403.3</v>
      </c>
      <c r="J76" s="0" t="n">
        <v>400.1</v>
      </c>
      <c r="K76" s="0" t="n">
        <v>405</v>
      </c>
      <c r="L76" s="0" t="n">
        <v>405.2</v>
      </c>
      <c r="M76" s="0" t="n">
        <v>402.8</v>
      </c>
      <c r="N76" s="0" t="n">
        <v>402.2</v>
      </c>
      <c r="O76" s="0" t="n">
        <v>403.8</v>
      </c>
      <c r="P76" s="0" t="n">
        <v>406.9</v>
      </c>
      <c r="Q76" s="0" t="n">
        <v>412.3</v>
      </c>
      <c r="R76" s="0" t="n">
        <v>401.8</v>
      </c>
      <c r="S76" s="0" t="n">
        <v>406.9</v>
      </c>
      <c r="T76" s="0" t="n">
        <v>404.1</v>
      </c>
      <c r="U76" s="0" t="n">
        <v>409</v>
      </c>
      <c r="V76" s="0" t="n">
        <v>407.9</v>
      </c>
      <c r="W76" s="0" t="n">
        <v>405.3</v>
      </c>
      <c r="X76" s="6" t="n">
        <f aca="false">AVERAGE(D76:W76)</f>
        <v>405.285</v>
      </c>
      <c r="Y76" s="7" t="n">
        <f aca="false">_xlfn.STDEV.S(D76:W76)</f>
        <v>3.07627166687551</v>
      </c>
      <c r="Z76" s="7" t="n">
        <f aca="false">Y76/X76</f>
        <v>0.00759039112445688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381.2</v>
      </c>
      <c r="E77" s="0" t="n">
        <v>375.4</v>
      </c>
      <c r="F77" s="0" t="n">
        <v>382.8</v>
      </c>
      <c r="G77" s="0" t="n">
        <v>385.3</v>
      </c>
      <c r="H77" s="0" t="n">
        <v>379.3</v>
      </c>
      <c r="I77" s="0" t="n">
        <v>377.1</v>
      </c>
      <c r="J77" s="0" t="n">
        <v>379.6</v>
      </c>
      <c r="K77" s="0" t="n">
        <v>380</v>
      </c>
      <c r="L77" s="0" t="n">
        <v>376.6</v>
      </c>
      <c r="M77" s="0" t="n">
        <v>379.7</v>
      </c>
      <c r="N77" s="0" t="n">
        <v>377.6</v>
      </c>
      <c r="O77" s="0" t="n">
        <v>381.5</v>
      </c>
      <c r="P77" s="0" t="n">
        <v>378.3</v>
      </c>
      <c r="Q77" s="0" t="n">
        <v>380.8</v>
      </c>
      <c r="R77" s="0" t="n">
        <v>377.9</v>
      </c>
      <c r="S77" s="0" t="n">
        <v>381.8</v>
      </c>
      <c r="T77" s="0" t="n">
        <v>379.2</v>
      </c>
      <c r="U77" s="0" t="n">
        <v>370.9</v>
      </c>
      <c r="V77" s="0" t="n">
        <v>377.6</v>
      </c>
      <c r="W77" s="0" t="n">
        <v>375.5</v>
      </c>
      <c r="X77" s="6" t="n">
        <f aca="false">AVERAGE(D77:W77)</f>
        <v>378.905</v>
      </c>
      <c r="Y77" s="7" t="n">
        <f aca="false">_xlfn.STDEV.S(D77:W77)</f>
        <v>3.11118102469482</v>
      </c>
      <c r="Z77" s="7" t="n">
        <f aca="false">Y77/X77</f>
        <v>0.00821097907046572</v>
      </c>
    </row>
    <row r="78" customFormat="false" ht="16.75" hidden="false" customHeight="false" outlineLevel="0" collapsed="false">
      <c r="B78" s="4"/>
      <c r="C78" s="5" t="n">
        <v>63</v>
      </c>
      <c r="D78" s="0" t="n">
        <v>390.3</v>
      </c>
      <c r="E78" s="0" t="n">
        <v>395.2</v>
      </c>
      <c r="F78" s="0" t="n">
        <v>390</v>
      </c>
      <c r="G78" s="0" t="n">
        <v>392.2</v>
      </c>
      <c r="H78" s="0" t="n">
        <v>391.3</v>
      </c>
      <c r="I78" s="0" t="n">
        <v>392.2</v>
      </c>
      <c r="J78" s="0" t="n">
        <v>385.1</v>
      </c>
      <c r="K78" s="0" t="n">
        <v>393.5</v>
      </c>
      <c r="L78" s="0" t="n">
        <v>386.5</v>
      </c>
      <c r="M78" s="0" t="n">
        <v>389.7</v>
      </c>
      <c r="N78" s="0" t="n">
        <v>391.3</v>
      </c>
      <c r="O78" s="0" t="n">
        <v>390.4</v>
      </c>
      <c r="P78" s="0" t="n">
        <v>390.6</v>
      </c>
      <c r="Q78" s="0" t="n">
        <v>391.8</v>
      </c>
      <c r="R78" s="0" t="n">
        <v>396.4</v>
      </c>
      <c r="S78" s="0" t="n">
        <v>394.6</v>
      </c>
      <c r="T78" s="0" t="n">
        <v>393.4</v>
      </c>
      <c r="U78" s="0" t="n">
        <v>400.5</v>
      </c>
      <c r="V78" s="0" t="n">
        <v>394.7</v>
      </c>
      <c r="W78" s="0" t="n">
        <v>391.4</v>
      </c>
      <c r="X78" s="6" t="n">
        <f aca="false">AVERAGE(D78:W78)</f>
        <v>392.055</v>
      </c>
      <c r="Y78" s="7" t="n">
        <f aca="false">_xlfn.STDEV.S(D78:W78)</f>
        <v>3.37225131734994</v>
      </c>
      <c r="Z78" s="7" t="n">
        <f aca="false">Y78/X78</f>
        <v>0.00860147509239759</v>
      </c>
    </row>
    <row r="79" customFormat="false" ht="16.75" hidden="false" customHeight="false" outlineLevel="0" collapsed="false">
      <c r="B79" s="4"/>
      <c r="C79" s="5" t="n">
        <v>93</v>
      </c>
      <c r="D79" s="0" t="n">
        <v>395.6</v>
      </c>
      <c r="E79" s="0" t="n">
        <v>392.9</v>
      </c>
      <c r="F79" s="0" t="n">
        <v>393.9</v>
      </c>
      <c r="G79" s="0" t="n">
        <v>400</v>
      </c>
      <c r="H79" s="0" t="n">
        <v>395.7</v>
      </c>
      <c r="I79" s="0" t="n">
        <v>393</v>
      </c>
      <c r="J79" s="0" t="n">
        <v>398.4</v>
      </c>
      <c r="K79" s="0" t="n">
        <v>397.6</v>
      </c>
      <c r="L79" s="0" t="n">
        <v>396.8</v>
      </c>
      <c r="M79" s="0" t="n">
        <v>399.1</v>
      </c>
      <c r="N79" s="0" t="n">
        <v>398</v>
      </c>
      <c r="O79" s="0" t="n">
        <v>398.4</v>
      </c>
      <c r="P79" s="0" t="n">
        <v>398.4</v>
      </c>
      <c r="Q79" s="0" t="n">
        <v>390.2</v>
      </c>
      <c r="R79" s="0" t="n">
        <v>395.5</v>
      </c>
      <c r="S79" s="0" t="n">
        <v>393.4</v>
      </c>
      <c r="T79" s="0" t="n">
        <v>398</v>
      </c>
      <c r="U79" s="0" t="n">
        <v>397.8</v>
      </c>
      <c r="V79" s="0" t="n">
        <v>398.9</v>
      </c>
      <c r="W79" s="0" t="n">
        <v>397.4</v>
      </c>
      <c r="X79" s="6" t="n">
        <f aca="false">AVERAGE(D79:W79)</f>
        <v>396.45</v>
      </c>
      <c r="Y79" s="7" t="n">
        <f aca="false">_xlfn.STDEV.S(D79:W79)</f>
        <v>2.59117936976887</v>
      </c>
      <c r="Z79" s="7" t="n">
        <f aca="false">Y79/X79</f>
        <v>0.00653595502527146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336.2</v>
      </c>
      <c r="E80" s="0" t="n">
        <v>325.4</v>
      </c>
      <c r="F80" s="0" t="n">
        <v>327.5</v>
      </c>
      <c r="G80" s="0" t="n">
        <v>319.8</v>
      </c>
      <c r="H80" s="0" t="n">
        <v>339</v>
      </c>
      <c r="I80" s="0" t="n">
        <v>324.3</v>
      </c>
      <c r="J80" s="0" t="n">
        <v>327.3</v>
      </c>
      <c r="K80" s="0" t="n">
        <v>328.5</v>
      </c>
      <c r="L80" s="0" t="n">
        <v>328.2</v>
      </c>
      <c r="M80" s="0" t="n">
        <v>330.1</v>
      </c>
      <c r="N80" s="0" t="n">
        <v>326.2</v>
      </c>
      <c r="O80" s="0" t="n">
        <v>326.9</v>
      </c>
      <c r="P80" s="0" t="n">
        <v>328.3</v>
      </c>
      <c r="Q80" s="0" t="n">
        <v>324.6</v>
      </c>
      <c r="R80" s="0" t="n">
        <v>337.6</v>
      </c>
      <c r="S80" s="0" t="n">
        <v>326.1</v>
      </c>
      <c r="T80" s="0" t="n">
        <v>330.9</v>
      </c>
      <c r="U80" s="0" t="n">
        <v>329.7</v>
      </c>
      <c r="V80" s="0" t="n">
        <v>328.4</v>
      </c>
      <c r="W80" s="0" t="n">
        <v>327.3</v>
      </c>
      <c r="X80" s="6" t="n">
        <f aca="false">AVERAGE(D80:W80)</f>
        <v>328.615</v>
      </c>
      <c r="Y80" s="7" t="n">
        <f aca="false">_xlfn.STDEV.S(D80:W80)</f>
        <v>4.57467571470775</v>
      </c>
      <c r="Z80" s="7" t="n">
        <f aca="false">Y80/X80</f>
        <v>0.0139210800319759</v>
      </c>
    </row>
    <row r="81" customFormat="false" ht="16.75" hidden="false" customHeight="false" outlineLevel="0" collapsed="false">
      <c r="B81" s="4"/>
      <c r="C81" s="5" t="n">
        <v>38</v>
      </c>
      <c r="D81" s="0" t="n">
        <v>342.6</v>
      </c>
      <c r="E81" s="0" t="n">
        <v>345.6</v>
      </c>
      <c r="F81" s="0" t="n">
        <v>349.3</v>
      </c>
      <c r="G81" s="0" t="n">
        <v>358.1</v>
      </c>
      <c r="H81" s="0" t="n">
        <v>347</v>
      </c>
      <c r="I81" s="0" t="n">
        <v>342.9</v>
      </c>
      <c r="J81" s="0" t="n">
        <v>347.3</v>
      </c>
      <c r="K81" s="0" t="n">
        <v>341.6</v>
      </c>
      <c r="L81" s="0" t="n">
        <v>344.2</v>
      </c>
      <c r="M81" s="0" t="n">
        <v>338.2</v>
      </c>
      <c r="N81" s="0" t="n">
        <v>346.8</v>
      </c>
      <c r="O81" s="0" t="n">
        <v>344.4</v>
      </c>
      <c r="P81" s="0" t="n">
        <v>345.5</v>
      </c>
      <c r="Q81" s="0" t="n">
        <v>352.3</v>
      </c>
      <c r="R81" s="0" t="n">
        <v>346.5</v>
      </c>
      <c r="S81" s="0" t="n">
        <v>340.6</v>
      </c>
      <c r="T81" s="0" t="n">
        <v>340.2</v>
      </c>
      <c r="U81" s="0" t="n">
        <v>345</v>
      </c>
      <c r="V81" s="0" t="n">
        <v>352.1</v>
      </c>
      <c r="W81" s="0" t="n">
        <v>350.1</v>
      </c>
      <c r="X81" s="6" t="n">
        <f aca="false">AVERAGE(D81:W81)</f>
        <v>346.015</v>
      </c>
      <c r="Y81" s="7" t="n">
        <f aca="false">_xlfn.STDEV.S(D81:W81)</f>
        <v>4.73489565271563</v>
      </c>
      <c r="Z81" s="7" t="n">
        <f aca="false">Y81/X81</f>
        <v>0.0136840762762182</v>
      </c>
    </row>
    <row r="82" customFormat="false" ht="16.75" hidden="false" customHeight="false" outlineLevel="0" collapsed="false">
      <c r="B82" s="4"/>
      <c r="C82" s="5" t="n">
        <v>50</v>
      </c>
      <c r="D82" s="0" t="n">
        <v>367</v>
      </c>
      <c r="E82" s="0" t="n">
        <v>367.3</v>
      </c>
      <c r="F82" s="0" t="n">
        <v>368</v>
      </c>
      <c r="G82" s="0" t="n">
        <v>362.3</v>
      </c>
      <c r="H82" s="0" t="n">
        <v>355.1</v>
      </c>
      <c r="I82" s="0" t="n">
        <v>358.7</v>
      </c>
      <c r="J82" s="0" t="n">
        <v>346.4</v>
      </c>
      <c r="K82" s="0" t="n">
        <v>360.3</v>
      </c>
      <c r="L82" s="0" t="n">
        <v>360</v>
      </c>
      <c r="M82" s="0" t="n">
        <v>353.2</v>
      </c>
      <c r="N82" s="0" t="n">
        <v>363.2</v>
      </c>
      <c r="O82" s="0" t="n">
        <v>364.5</v>
      </c>
      <c r="P82" s="0" t="n">
        <v>361.4</v>
      </c>
      <c r="Q82" s="0" t="n">
        <v>354.5</v>
      </c>
      <c r="R82" s="0" t="n">
        <v>364.6</v>
      </c>
      <c r="S82" s="0" t="n">
        <v>359.4</v>
      </c>
      <c r="T82" s="0" t="n">
        <v>361.1</v>
      </c>
      <c r="U82" s="0" t="n">
        <v>353.6</v>
      </c>
      <c r="V82" s="0" t="n">
        <v>356.1</v>
      </c>
      <c r="W82" s="0" t="n">
        <v>353.8</v>
      </c>
      <c r="X82" s="6" t="n">
        <f aca="false">AVERAGE(D82:W82)</f>
        <v>359.525</v>
      </c>
      <c r="Y82" s="7" t="n">
        <f aca="false">_xlfn.STDEV.S(D82:W82)</f>
        <v>5.63867052266382</v>
      </c>
      <c r="Z82" s="7" t="n">
        <f aca="false">Y82/X82</f>
        <v>0.0156836674018881</v>
      </c>
    </row>
    <row r="83" customFormat="false" ht="16.75" hidden="false" customHeight="false" outlineLevel="0" collapsed="false">
      <c r="B83" s="4"/>
      <c r="C83" s="5" t="n">
        <v>75</v>
      </c>
      <c r="D83" s="0" t="n">
        <v>359.8</v>
      </c>
      <c r="E83" s="0" t="n">
        <v>352.4</v>
      </c>
      <c r="F83" s="0" t="n">
        <v>361.3</v>
      </c>
      <c r="G83" s="0" t="n">
        <v>367.3</v>
      </c>
      <c r="H83" s="0" t="n">
        <v>352.9</v>
      </c>
      <c r="I83" s="0" t="n">
        <v>364.7</v>
      </c>
      <c r="J83" s="0" t="n">
        <v>355.2</v>
      </c>
      <c r="K83" s="8" t="s">
        <v>37</v>
      </c>
      <c r="L83" s="0" t="n">
        <v>360.8</v>
      </c>
      <c r="M83" s="0" t="n">
        <v>355.2</v>
      </c>
      <c r="N83" s="0" t="n">
        <v>360</v>
      </c>
      <c r="O83" s="0" t="n">
        <v>359.2</v>
      </c>
      <c r="P83" s="0" t="n">
        <v>357.2</v>
      </c>
      <c r="Q83" s="0" t="n">
        <v>369.1</v>
      </c>
      <c r="R83" s="0" t="n">
        <v>357.5</v>
      </c>
      <c r="S83" s="0" t="n">
        <v>360.6</v>
      </c>
      <c r="T83" s="0" t="n">
        <v>359</v>
      </c>
      <c r="U83" s="0" t="n">
        <v>362.6</v>
      </c>
      <c r="V83" s="0" t="n">
        <v>356.6</v>
      </c>
      <c r="W83" s="0" t="n">
        <v>366.9</v>
      </c>
      <c r="X83" s="6" t="n">
        <f aca="false">AVERAGE(D83:W83)</f>
        <v>359.910526315789</v>
      </c>
      <c r="Y83" s="7" t="n">
        <f aca="false">_xlfn.STDEV.S(D83:W83)</f>
        <v>4.69442869992862</v>
      </c>
      <c r="Z83" s="7" t="n">
        <f aca="false">Y83/X83</f>
        <v>0.0130433214832113</v>
      </c>
    </row>
    <row r="84" customFormat="false" ht="16.75" hidden="false" customHeight="false" outlineLevel="0" collapsed="false">
      <c r="B84" s="4"/>
      <c r="C84" s="5" t="n">
        <v>100</v>
      </c>
      <c r="D84" s="0" t="n">
        <v>372</v>
      </c>
      <c r="E84" s="0" t="n">
        <v>360.4</v>
      </c>
      <c r="F84" s="0" t="n">
        <v>382.6</v>
      </c>
      <c r="G84" s="0" t="n">
        <v>376.5</v>
      </c>
      <c r="H84" s="0" t="n">
        <v>370.2</v>
      </c>
      <c r="I84" s="0" t="n">
        <v>383.7</v>
      </c>
      <c r="J84" s="0" t="n">
        <v>373</v>
      </c>
      <c r="K84" s="0" t="n">
        <v>373.5</v>
      </c>
      <c r="L84" s="0" t="n">
        <v>407.9</v>
      </c>
      <c r="M84" s="0" t="n">
        <v>418.8</v>
      </c>
      <c r="N84" s="0" t="n">
        <v>433.8</v>
      </c>
      <c r="O84" s="0" t="n">
        <v>431.3</v>
      </c>
      <c r="P84" s="0" t="n">
        <v>430.4</v>
      </c>
      <c r="Q84" s="0" t="n">
        <v>424.1</v>
      </c>
      <c r="R84" s="0" t="n">
        <v>409.9</v>
      </c>
      <c r="S84" s="0" t="n">
        <v>404.8</v>
      </c>
      <c r="T84" s="0" t="n">
        <v>406.8</v>
      </c>
      <c r="U84" s="0" t="n">
        <v>403.3</v>
      </c>
      <c r="V84" s="0" t="n">
        <v>417.3</v>
      </c>
      <c r="W84" s="0" t="n">
        <v>413.8</v>
      </c>
      <c r="X84" s="6" t="n">
        <f aca="false">AVERAGE(D84:W84)</f>
        <v>399.705</v>
      </c>
      <c r="Y84" s="7" t="n">
        <f aca="false">_xlfn.STDEV.S(D84:W84)</f>
        <v>23.5095383777913</v>
      </c>
      <c r="Z84" s="7" t="n">
        <f aca="false">Y84/X84</f>
        <v>0.0588172236469179</v>
      </c>
    </row>
    <row r="85" customFormat="false" ht="16.75" hidden="false" customHeight="false" outlineLevel="0" collapsed="false">
      <c r="B85" s="4"/>
      <c r="C85" s="5" t="n">
        <v>150</v>
      </c>
      <c r="D85" s="0" t="n">
        <v>376.2</v>
      </c>
      <c r="E85" s="0" t="n">
        <v>383.2</v>
      </c>
      <c r="F85" s="0" t="n">
        <v>380.4</v>
      </c>
      <c r="G85" s="0" t="n">
        <v>381</v>
      </c>
      <c r="H85" s="0" t="n">
        <v>380.4</v>
      </c>
      <c r="I85" s="0" t="n">
        <v>383.6</v>
      </c>
      <c r="J85" s="0" t="n">
        <v>392.1</v>
      </c>
      <c r="K85" s="0" t="n">
        <v>390.5</v>
      </c>
      <c r="L85" s="0" t="n">
        <v>386</v>
      </c>
      <c r="M85" s="0" t="n">
        <v>378.3</v>
      </c>
      <c r="N85" s="0" t="n">
        <v>389.4</v>
      </c>
      <c r="O85" s="0" t="n">
        <v>388.7</v>
      </c>
      <c r="P85" s="0" t="n">
        <v>386.4</v>
      </c>
      <c r="Q85" s="0" t="n">
        <v>387.7</v>
      </c>
      <c r="R85" s="0" t="n">
        <v>385.7</v>
      </c>
      <c r="S85" s="0" t="n">
        <v>383.8</v>
      </c>
      <c r="T85" s="0" t="n">
        <v>383.5</v>
      </c>
      <c r="U85" s="0" t="n">
        <v>383.5</v>
      </c>
      <c r="V85" s="0" t="n">
        <v>377.1</v>
      </c>
      <c r="W85" s="0" t="n">
        <v>386.9</v>
      </c>
      <c r="X85" s="6" t="n">
        <f aca="false">AVERAGE(D85:W85)</f>
        <v>384.22</v>
      </c>
      <c r="Y85" s="7" t="n">
        <f aca="false">_xlfn.STDEV.S(D85:W85)</f>
        <v>4.41344834747043</v>
      </c>
      <c r="Z85" s="7" t="n">
        <f aca="false">Y85/X85</f>
        <v>0.0114867741072053</v>
      </c>
    </row>
    <row r="86" customFormat="false" ht="15" hidden="false" customHeight="true" outlineLevel="0" collapsed="false">
      <c r="A86" s="1" t="s">
        <v>36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408.9</v>
      </c>
      <c r="E91" s="0" t="n">
        <v>410.3</v>
      </c>
      <c r="F91" s="0" t="n">
        <v>402.7</v>
      </c>
      <c r="G91" s="0" t="n">
        <v>403.4</v>
      </c>
      <c r="H91" s="0" t="n">
        <v>394.8</v>
      </c>
      <c r="I91" s="0" t="n">
        <v>404.1</v>
      </c>
      <c r="J91" s="0" t="n">
        <v>402.3</v>
      </c>
      <c r="K91" s="0" t="n">
        <v>402.2</v>
      </c>
      <c r="L91" s="0" t="n">
        <v>397.9</v>
      </c>
      <c r="M91" s="0" t="n">
        <v>400.4</v>
      </c>
      <c r="N91" s="0" t="n">
        <v>400.7</v>
      </c>
      <c r="O91" s="0" t="n">
        <v>405.2</v>
      </c>
      <c r="P91" s="0" t="n">
        <v>402.9</v>
      </c>
      <c r="Q91" s="0" t="n">
        <v>403.4</v>
      </c>
      <c r="R91" s="0" t="n">
        <v>400.8</v>
      </c>
      <c r="S91" s="0" t="n">
        <v>402.4</v>
      </c>
      <c r="T91" s="0" t="n">
        <v>402.5</v>
      </c>
      <c r="U91" s="0" t="n">
        <v>400.3</v>
      </c>
      <c r="V91" s="0" t="n">
        <v>400</v>
      </c>
      <c r="W91" s="0" t="n">
        <v>403.6</v>
      </c>
      <c r="X91" s="6" t="n">
        <f aca="false">AVERAGE(D91:W91)</f>
        <v>402.44</v>
      </c>
      <c r="Y91" s="7" t="n">
        <f aca="false">_xlfn.STDEV.S(D91:W91)</f>
        <v>3.37816518246222</v>
      </c>
      <c r="Z91" s="7" t="n">
        <f aca="false">Y91/X91</f>
        <v>0.0083942082856133</v>
      </c>
    </row>
    <row r="92" customFormat="false" ht="16.75" hidden="false" customHeight="false" outlineLevel="0" collapsed="false">
      <c r="B92" s="4"/>
      <c r="C92" s="5" t="n">
        <v>25</v>
      </c>
      <c r="D92" s="0" t="n">
        <v>407.9</v>
      </c>
      <c r="E92" s="0" t="n">
        <v>405.3</v>
      </c>
      <c r="F92" s="0" t="n">
        <v>401.3</v>
      </c>
      <c r="G92" s="0" t="n">
        <v>403.4</v>
      </c>
      <c r="H92" s="0" t="n">
        <v>406.5</v>
      </c>
      <c r="I92" s="0" t="n">
        <v>406.8</v>
      </c>
      <c r="J92" s="0" t="n">
        <v>402.8</v>
      </c>
      <c r="K92" s="0" t="n">
        <v>408.2</v>
      </c>
      <c r="L92" s="0" t="n">
        <v>398.8</v>
      </c>
      <c r="M92" s="0" t="n">
        <v>411.3</v>
      </c>
      <c r="N92" s="0" t="n">
        <v>405.9</v>
      </c>
      <c r="O92" s="0" t="n">
        <v>407</v>
      </c>
      <c r="P92" s="0" t="n">
        <v>401.3</v>
      </c>
      <c r="Q92" s="0" t="n">
        <v>405.8</v>
      </c>
      <c r="R92" s="0" t="n">
        <v>405.5</v>
      </c>
      <c r="S92" s="0" t="n">
        <v>395.2</v>
      </c>
      <c r="T92" s="0" t="n">
        <v>407.8</v>
      </c>
      <c r="U92" s="0" t="n">
        <v>401.6</v>
      </c>
      <c r="V92" s="0" t="n">
        <v>405.2</v>
      </c>
      <c r="W92" s="0" t="n">
        <v>407.7</v>
      </c>
      <c r="X92" s="6" t="n">
        <f aca="false">AVERAGE(D92:W92)</f>
        <v>404.765</v>
      </c>
      <c r="Y92" s="7" t="n">
        <f aca="false">_xlfn.STDEV.S(D92:W92)</f>
        <v>3.73113147788484</v>
      </c>
      <c r="Z92" s="7" t="n">
        <f aca="false">Y92/X92</f>
        <v>0.009218019042864</v>
      </c>
    </row>
    <row r="93" customFormat="false" ht="16.75" hidden="false" customHeight="false" outlineLevel="0" collapsed="false">
      <c r="B93" s="4"/>
      <c r="C93" s="5" t="n">
        <v>38</v>
      </c>
      <c r="D93" s="0" t="n">
        <v>400.7</v>
      </c>
      <c r="E93" s="0" t="n">
        <v>408.2</v>
      </c>
      <c r="F93" s="0" t="n">
        <v>402.8</v>
      </c>
      <c r="G93" s="0" t="n">
        <v>406.8</v>
      </c>
      <c r="H93" s="0" t="n">
        <v>402.8</v>
      </c>
      <c r="I93" s="0" t="n">
        <v>407.8</v>
      </c>
      <c r="J93" s="0" t="n">
        <v>410.3</v>
      </c>
      <c r="K93" s="0" t="n">
        <v>407.4</v>
      </c>
      <c r="L93" s="0" t="n">
        <v>406.3</v>
      </c>
      <c r="M93" s="0" t="n">
        <v>411.6</v>
      </c>
      <c r="N93" s="0" t="n">
        <v>403.3</v>
      </c>
      <c r="O93" s="0" t="n">
        <v>412.2</v>
      </c>
      <c r="P93" s="0" t="n">
        <v>401</v>
      </c>
      <c r="Q93" s="0" t="n">
        <v>410.7</v>
      </c>
      <c r="R93" s="0" t="n">
        <v>407</v>
      </c>
      <c r="S93" s="0" t="n">
        <v>405.1</v>
      </c>
      <c r="T93" s="0" t="n">
        <v>408</v>
      </c>
      <c r="U93" s="0" t="n">
        <v>400.8</v>
      </c>
      <c r="V93" s="0" t="n">
        <v>395.8</v>
      </c>
      <c r="W93" s="0" t="n">
        <v>400.6</v>
      </c>
      <c r="X93" s="6" t="n">
        <f aca="false">AVERAGE(D93:W93)</f>
        <v>405.46</v>
      </c>
      <c r="Y93" s="7" t="n">
        <f aca="false">_xlfn.STDEV.S(D93:W93)</f>
        <v>4.3663064000305</v>
      </c>
      <c r="Z93" s="7" t="n">
        <f aca="false">Y93/X93</f>
        <v>0.0107687722587444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373.4</v>
      </c>
      <c r="E94" s="0" t="n">
        <v>376.8</v>
      </c>
      <c r="F94" s="0" t="n">
        <v>372</v>
      </c>
      <c r="G94" s="0" t="n">
        <v>371</v>
      </c>
      <c r="H94" s="0" t="n">
        <v>383.1</v>
      </c>
      <c r="I94" s="0" t="n">
        <v>378.9</v>
      </c>
      <c r="J94" s="0" t="n">
        <v>373.6</v>
      </c>
      <c r="K94" s="0" t="n">
        <v>373.4</v>
      </c>
      <c r="L94" s="0" t="n">
        <v>377.7</v>
      </c>
      <c r="M94" s="0" t="n">
        <v>380.1</v>
      </c>
      <c r="N94" s="0" t="n">
        <v>376.3</v>
      </c>
      <c r="O94" s="0" t="n">
        <v>378.8</v>
      </c>
      <c r="P94" s="0" t="n">
        <v>378.2</v>
      </c>
      <c r="Q94" s="0" t="n">
        <v>375.5</v>
      </c>
      <c r="R94" s="0" t="n">
        <v>375.4</v>
      </c>
      <c r="S94" s="0" t="n">
        <v>368.2</v>
      </c>
      <c r="T94" s="0" t="n">
        <v>374</v>
      </c>
      <c r="U94" s="0" t="n">
        <v>378.6</v>
      </c>
      <c r="V94" s="0" t="n">
        <v>376.1</v>
      </c>
      <c r="W94" s="0" t="n">
        <v>378.4</v>
      </c>
      <c r="X94" s="6" t="n">
        <f aca="false">AVERAGE(D94:W94)</f>
        <v>375.975</v>
      </c>
      <c r="Y94" s="7" t="n">
        <f aca="false">_xlfn.STDEV.S(D94:W94)</f>
        <v>3.48060415203423</v>
      </c>
      <c r="Z94" s="7" t="n">
        <f aca="false">Y94/X94</f>
        <v>0.00925754146428415</v>
      </c>
    </row>
    <row r="95" customFormat="false" ht="16.75" hidden="false" customHeight="false" outlineLevel="0" collapsed="false">
      <c r="B95" s="4"/>
      <c r="C95" s="5" t="n">
        <v>63</v>
      </c>
      <c r="D95" s="0" t="n">
        <v>385.6</v>
      </c>
      <c r="E95" s="0" t="n">
        <v>390.2</v>
      </c>
      <c r="F95" s="0" t="n">
        <v>386.2</v>
      </c>
      <c r="G95" s="0" t="n">
        <v>387.9</v>
      </c>
      <c r="H95" s="0" t="n">
        <v>386.2</v>
      </c>
      <c r="I95" s="0" t="n">
        <v>379.6</v>
      </c>
      <c r="J95" s="0" t="n">
        <v>383.8</v>
      </c>
      <c r="K95" s="0" t="n">
        <v>382.6</v>
      </c>
      <c r="L95" s="0" t="n">
        <v>382.4</v>
      </c>
      <c r="M95" s="0" t="n">
        <v>383.4</v>
      </c>
      <c r="N95" s="0" t="n">
        <v>384.1</v>
      </c>
      <c r="O95" s="0" t="n">
        <v>383.3</v>
      </c>
      <c r="P95" s="0" t="n">
        <v>385.4</v>
      </c>
      <c r="Q95" s="0" t="n">
        <v>387.5</v>
      </c>
      <c r="R95" s="0" t="n">
        <v>385.6</v>
      </c>
      <c r="S95" s="0" t="n">
        <v>385.5</v>
      </c>
      <c r="T95" s="0" t="n">
        <v>386</v>
      </c>
      <c r="U95" s="0" t="n">
        <v>384.4</v>
      </c>
      <c r="V95" s="0" t="n">
        <v>388.4</v>
      </c>
      <c r="W95" s="0" t="n">
        <v>379.7</v>
      </c>
      <c r="X95" s="6" t="n">
        <f aca="false">AVERAGE(D95:W95)</f>
        <v>384.89</v>
      </c>
      <c r="Y95" s="7" t="n">
        <f aca="false">_xlfn.STDEV.S(D95:W95)</f>
        <v>2.67402712264322</v>
      </c>
      <c r="Z95" s="7" t="n">
        <f aca="false">Y95/X95</f>
        <v>0.00694750999673469</v>
      </c>
    </row>
    <row r="96" customFormat="false" ht="16.75" hidden="false" customHeight="false" outlineLevel="0" collapsed="false">
      <c r="B96" s="4"/>
      <c r="C96" s="5" t="n">
        <v>93</v>
      </c>
      <c r="D96" s="0" t="n">
        <v>391.8</v>
      </c>
      <c r="E96" s="0" t="n">
        <v>393.6</v>
      </c>
      <c r="F96" s="0" t="n">
        <v>394</v>
      </c>
      <c r="G96" s="0" t="n">
        <v>387.8</v>
      </c>
      <c r="H96" s="0" t="n">
        <v>392.6</v>
      </c>
      <c r="I96" s="0" t="n">
        <v>391.9</v>
      </c>
      <c r="J96" s="0" t="n">
        <v>391</v>
      </c>
      <c r="K96" s="0" t="n">
        <v>389</v>
      </c>
      <c r="L96" s="0" t="n">
        <v>391.4</v>
      </c>
      <c r="M96" s="0" t="n">
        <v>394</v>
      </c>
      <c r="N96" s="0" t="n">
        <v>389.4</v>
      </c>
      <c r="O96" s="0" t="n">
        <v>389.3</v>
      </c>
      <c r="P96" s="0" t="n">
        <v>394</v>
      </c>
      <c r="Q96" s="0" t="n">
        <v>394.7</v>
      </c>
      <c r="R96" s="0" t="n">
        <v>392.4</v>
      </c>
      <c r="S96" s="0" t="n">
        <v>390.3</v>
      </c>
      <c r="T96" s="0" t="n">
        <v>394.5</v>
      </c>
      <c r="U96" s="0" t="n">
        <v>393.8</v>
      </c>
      <c r="V96" s="0" t="n">
        <v>392</v>
      </c>
      <c r="W96" s="0" t="n">
        <v>390.3</v>
      </c>
      <c r="X96" s="6" t="n">
        <f aca="false">AVERAGE(D96:W96)</f>
        <v>391.89</v>
      </c>
      <c r="Y96" s="7" t="n">
        <f aca="false">_xlfn.STDEV.S(D96:W96)</f>
        <v>2.04550855856383</v>
      </c>
      <c r="Z96" s="7" t="n">
        <f aca="false">Y96/X96</f>
        <v>0.00521959876129484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326.1</v>
      </c>
      <c r="E97" s="0" t="n">
        <v>328.3</v>
      </c>
      <c r="F97" s="0" t="n">
        <v>324.8</v>
      </c>
      <c r="G97" s="0" t="n">
        <v>333.9</v>
      </c>
      <c r="H97" s="0" t="n">
        <v>318.5</v>
      </c>
      <c r="I97" s="0" t="n">
        <v>325.8</v>
      </c>
      <c r="J97" s="0" t="n">
        <v>323.1</v>
      </c>
      <c r="K97" s="0" t="n">
        <v>328.4</v>
      </c>
      <c r="L97" s="0" t="n">
        <v>318.3</v>
      </c>
      <c r="M97" s="0" t="n">
        <v>314</v>
      </c>
      <c r="N97" s="0" t="n">
        <v>336.6</v>
      </c>
      <c r="O97" s="0" t="n">
        <v>330.8</v>
      </c>
      <c r="P97" s="0" t="n">
        <v>328.4</v>
      </c>
      <c r="Q97" s="0" t="n">
        <v>318.4</v>
      </c>
      <c r="R97" s="0" t="n">
        <v>327.9</v>
      </c>
      <c r="S97" s="0" t="n">
        <v>347.8</v>
      </c>
      <c r="T97" s="0" t="n">
        <v>320.7</v>
      </c>
      <c r="U97" s="0" t="n">
        <v>316.1</v>
      </c>
      <c r="V97" s="0" t="n">
        <v>326.8</v>
      </c>
      <c r="W97" s="0" t="n">
        <v>330.8</v>
      </c>
      <c r="X97" s="6" t="n">
        <f aca="false">AVERAGE(D97:W97)</f>
        <v>326.275</v>
      </c>
      <c r="Y97" s="7" t="n">
        <f aca="false">_xlfn.STDEV.S(D97:W97)</f>
        <v>7.84366153755945</v>
      </c>
      <c r="Z97" s="7" t="n">
        <f aca="false">Y97/X97</f>
        <v>0.024040032296558</v>
      </c>
    </row>
    <row r="98" customFormat="false" ht="16.75" hidden="false" customHeight="false" outlineLevel="0" collapsed="false">
      <c r="B98" s="4"/>
      <c r="C98" s="5" t="n">
        <v>38</v>
      </c>
      <c r="D98" s="0" t="n">
        <v>347.5</v>
      </c>
      <c r="E98" s="0" t="n">
        <v>347.1</v>
      </c>
      <c r="F98" s="0" t="n">
        <v>351.6</v>
      </c>
      <c r="G98" s="0" t="n">
        <v>342.3</v>
      </c>
      <c r="H98" s="0" t="n">
        <v>342.6</v>
      </c>
      <c r="I98" s="0" t="n">
        <v>350.6</v>
      </c>
      <c r="J98" s="0" t="n">
        <v>352.5</v>
      </c>
      <c r="K98" s="0" t="n">
        <v>339.4</v>
      </c>
      <c r="L98" s="0" t="n">
        <v>349.2</v>
      </c>
      <c r="M98" s="0" t="n">
        <v>344.4</v>
      </c>
      <c r="N98" s="0" t="n">
        <v>345.9</v>
      </c>
      <c r="O98" s="0" t="n">
        <v>388.5</v>
      </c>
      <c r="P98" s="0" t="n">
        <v>340.5</v>
      </c>
      <c r="Q98" s="0" t="n">
        <v>342.8</v>
      </c>
      <c r="R98" s="0" t="n">
        <v>347.8</v>
      </c>
      <c r="S98" s="0" t="n">
        <v>351.2</v>
      </c>
      <c r="T98" s="0" t="n">
        <v>348.6</v>
      </c>
      <c r="U98" s="0" t="n">
        <v>352.2</v>
      </c>
      <c r="V98" s="0" t="n">
        <v>342</v>
      </c>
      <c r="W98" s="0" t="n">
        <v>347.6</v>
      </c>
      <c r="X98" s="6" t="n">
        <f aca="false">AVERAGE(D98:W98)</f>
        <v>348.715</v>
      </c>
      <c r="Y98" s="7" t="n">
        <f aca="false">_xlfn.STDEV.S(D98:W98)</f>
        <v>10.1908253371663</v>
      </c>
      <c r="Z98" s="7" t="n">
        <f aca="false">Y98/X98</f>
        <v>0.0292239374192861</v>
      </c>
    </row>
    <row r="99" customFormat="false" ht="16.75" hidden="false" customHeight="false" outlineLevel="0" collapsed="false">
      <c r="B99" s="4"/>
      <c r="C99" s="5" t="n">
        <v>50</v>
      </c>
      <c r="D99" s="0" t="n">
        <v>347.8</v>
      </c>
      <c r="E99" s="0" t="n">
        <v>352.9</v>
      </c>
      <c r="F99" s="0" t="n">
        <v>351.5</v>
      </c>
      <c r="G99" s="0" t="n">
        <v>349</v>
      </c>
      <c r="H99" s="0" t="n">
        <v>349</v>
      </c>
      <c r="I99" s="0" t="n">
        <v>350.6</v>
      </c>
      <c r="J99" s="0" t="n">
        <v>354.2</v>
      </c>
      <c r="K99" s="0" t="n">
        <v>352.4</v>
      </c>
      <c r="L99" s="0" t="n">
        <v>349.3</v>
      </c>
      <c r="M99" s="0" t="n">
        <v>354</v>
      </c>
      <c r="N99" s="0" t="n">
        <v>359</v>
      </c>
      <c r="O99" s="0" t="n">
        <v>357.7</v>
      </c>
      <c r="P99" s="0" t="n">
        <v>354.5</v>
      </c>
      <c r="Q99" s="0" t="n">
        <v>353.3</v>
      </c>
      <c r="R99" s="0" t="n">
        <v>353.7</v>
      </c>
      <c r="S99" s="0" t="n">
        <v>351</v>
      </c>
      <c r="T99" s="0" t="n">
        <v>346.5</v>
      </c>
      <c r="U99" s="0" t="n">
        <v>343.7</v>
      </c>
      <c r="V99" s="0" t="n">
        <v>353.2</v>
      </c>
      <c r="W99" s="0" t="n">
        <v>346.5</v>
      </c>
      <c r="X99" s="6" t="n">
        <f aca="false">AVERAGE(D99:W99)</f>
        <v>351.49</v>
      </c>
      <c r="Y99" s="7" t="n">
        <f aca="false">_xlfn.STDEV.S(D99:W99)</f>
        <v>3.79679920597947</v>
      </c>
      <c r="Z99" s="7" t="n">
        <f aca="false">Y99/X99</f>
        <v>0.0108020120230432</v>
      </c>
    </row>
    <row r="100" customFormat="false" ht="16.75" hidden="false" customHeight="false" outlineLevel="0" collapsed="false">
      <c r="B100" s="4"/>
      <c r="C100" s="5" t="n">
        <v>75</v>
      </c>
      <c r="D100" s="0" t="n">
        <v>353.5</v>
      </c>
      <c r="E100" s="0" t="n">
        <v>364.3</v>
      </c>
      <c r="F100" s="0" t="n">
        <v>360.1</v>
      </c>
      <c r="G100" s="0" t="n">
        <v>361.1</v>
      </c>
      <c r="H100" s="0" t="n">
        <v>355.9</v>
      </c>
      <c r="I100" s="0" t="n">
        <v>360.5</v>
      </c>
      <c r="J100" s="0" t="n">
        <v>355</v>
      </c>
      <c r="K100" s="0" t="n">
        <v>357</v>
      </c>
      <c r="L100" s="0" t="n">
        <v>360.5</v>
      </c>
      <c r="M100" s="0" t="n">
        <v>367.1</v>
      </c>
      <c r="N100" s="0" t="n">
        <v>357.2</v>
      </c>
      <c r="O100" s="0" t="n">
        <v>358.8</v>
      </c>
      <c r="P100" s="0" t="n">
        <v>356.9</v>
      </c>
      <c r="Q100" s="0" t="n">
        <v>358.1</v>
      </c>
      <c r="R100" s="0" t="n">
        <v>352.8</v>
      </c>
      <c r="S100" s="0" t="n">
        <v>356.5</v>
      </c>
      <c r="T100" s="0" t="n">
        <v>351.5</v>
      </c>
      <c r="U100" s="0" t="n">
        <v>353.9</v>
      </c>
      <c r="V100" s="0" t="n">
        <v>375.9</v>
      </c>
      <c r="W100" s="0" t="n">
        <v>361.4</v>
      </c>
      <c r="X100" s="6" t="n">
        <f aca="false">AVERAGE(D100:W100)</f>
        <v>358.9</v>
      </c>
      <c r="Y100" s="7" t="n">
        <f aca="false">_xlfn.STDEV.S(D100:W100)</f>
        <v>5.57390536810875</v>
      </c>
      <c r="Z100" s="7" t="n">
        <f aca="false">Y100/X100</f>
        <v>0.0155305248484501</v>
      </c>
    </row>
    <row r="101" customFormat="false" ht="16.75" hidden="false" customHeight="false" outlineLevel="0" collapsed="false">
      <c r="B101" s="4"/>
      <c r="C101" s="5" t="n">
        <v>100</v>
      </c>
      <c r="D101" s="0" t="n">
        <v>358</v>
      </c>
      <c r="E101" s="0" t="n">
        <v>356.8</v>
      </c>
      <c r="F101" s="0" t="n">
        <v>359.6</v>
      </c>
      <c r="G101" s="0" t="n">
        <v>361.5</v>
      </c>
      <c r="H101" s="0" t="n">
        <v>362.3</v>
      </c>
      <c r="I101" s="0" t="n">
        <v>359.1</v>
      </c>
      <c r="J101" s="0" t="n">
        <v>361.5</v>
      </c>
      <c r="K101" s="0" t="n">
        <v>358.9</v>
      </c>
      <c r="L101" s="0" t="n">
        <v>362.1</v>
      </c>
      <c r="M101" s="0" t="n">
        <v>357.4</v>
      </c>
      <c r="N101" s="0" t="n">
        <v>360.1</v>
      </c>
      <c r="O101" s="0" t="n">
        <v>352.4</v>
      </c>
      <c r="P101" s="0" t="n">
        <v>348.1</v>
      </c>
      <c r="Q101" s="0" t="n">
        <v>357.2</v>
      </c>
      <c r="R101" s="0" t="n">
        <v>355.1</v>
      </c>
      <c r="S101" s="0" t="n">
        <v>350.6</v>
      </c>
      <c r="T101" s="0" t="n">
        <v>360.6</v>
      </c>
      <c r="U101" s="0" t="n">
        <v>354</v>
      </c>
      <c r="V101" s="0" t="n">
        <v>359.8</v>
      </c>
      <c r="W101" s="0" t="n">
        <v>359</v>
      </c>
      <c r="X101" s="6" t="n">
        <f aca="false">AVERAGE(D101:W101)</f>
        <v>357.705</v>
      </c>
      <c r="Y101" s="7" t="n">
        <f aca="false">_xlfn.STDEV.S(D101:W101)</f>
        <v>3.90026652260694</v>
      </c>
      <c r="Z101" s="7" t="n">
        <f aca="false">Y101/X101</f>
        <v>0.0109035840220487</v>
      </c>
    </row>
    <row r="102" customFormat="false" ht="16.75" hidden="false" customHeight="false" outlineLevel="0" collapsed="false">
      <c r="B102" s="4"/>
      <c r="C102" s="5" t="n">
        <v>150</v>
      </c>
      <c r="D102" s="0" t="n">
        <v>385.5</v>
      </c>
      <c r="E102" s="0" t="n">
        <v>380.5</v>
      </c>
      <c r="F102" s="0" t="n">
        <v>369.8</v>
      </c>
      <c r="G102" s="0" t="n">
        <v>374.1</v>
      </c>
      <c r="H102" s="0" t="n">
        <v>370.7</v>
      </c>
      <c r="I102" s="0" t="n">
        <v>371.8</v>
      </c>
      <c r="J102" s="0" t="n">
        <v>376</v>
      </c>
      <c r="K102" s="0" t="n">
        <v>384.3</v>
      </c>
      <c r="L102" s="0" t="n">
        <v>376</v>
      </c>
      <c r="M102" s="0" t="n">
        <v>376.2</v>
      </c>
      <c r="N102" s="0" t="n">
        <v>372.8</v>
      </c>
      <c r="O102" s="0" t="n">
        <v>377.3</v>
      </c>
      <c r="P102" s="0" t="n">
        <v>378.9</v>
      </c>
      <c r="Q102" s="0" t="n">
        <v>376.6</v>
      </c>
      <c r="R102" s="0" t="n">
        <v>371</v>
      </c>
      <c r="S102" s="0" t="n">
        <v>367</v>
      </c>
      <c r="T102" s="0" t="n">
        <v>372.8</v>
      </c>
      <c r="U102" s="0" t="n">
        <v>376</v>
      </c>
      <c r="V102" s="0" t="n">
        <v>374.6</v>
      </c>
      <c r="W102" s="0" t="n">
        <v>369.5</v>
      </c>
      <c r="X102" s="6" t="n">
        <f aca="false">AVERAGE(D102:W102)</f>
        <v>375.07</v>
      </c>
      <c r="Y102" s="7" t="n">
        <f aca="false">_xlfn.STDEV.S(D102:W102)</f>
        <v>4.76313695837213</v>
      </c>
      <c r="Z102" s="7" t="n">
        <f aca="false">Y102/X102</f>
        <v>0.0126993280144297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Y93" activeCellId="0" sqref="Y93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38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313.3</v>
      </c>
      <c r="E6" s="0" t="n">
        <v>310.3</v>
      </c>
      <c r="F6" s="0" t="n">
        <v>305.3</v>
      </c>
      <c r="G6" s="0" t="n">
        <v>326.6</v>
      </c>
      <c r="H6" s="0" t="n">
        <v>317.8</v>
      </c>
      <c r="I6" s="0" t="n">
        <v>320.4</v>
      </c>
      <c r="J6" s="0" t="n">
        <v>313.3</v>
      </c>
      <c r="K6" s="0" t="n">
        <v>312</v>
      </c>
      <c r="L6" s="0" t="n">
        <v>317.4</v>
      </c>
      <c r="M6" s="0" t="n">
        <v>318.4</v>
      </c>
      <c r="N6" s="0" t="n">
        <v>321.9</v>
      </c>
      <c r="O6" s="0" t="n">
        <v>316.5</v>
      </c>
      <c r="P6" s="0" t="n">
        <v>326.8</v>
      </c>
      <c r="Q6" s="0" t="n">
        <v>319.6</v>
      </c>
      <c r="R6" s="0" t="n">
        <v>315</v>
      </c>
      <c r="S6" s="0" t="n">
        <v>312.9</v>
      </c>
      <c r="T6" s="0" t="n">
        <v>324.7</v>
      </c>
      <c r="U6" s="0" t="n">
        <v>324.4</v>
      </c>
      <c r="V6" s="0" t="n">
        <v>313.6</v>
      </c>
      <c r="W6" s="0" t="n">
        <v>321.8</v>
      </c>
      <c r="X6" s="6" t="n">
        <f aca="false">AVERAGE(D6:W6)</f>
        <v>317.6</v>
      </c>
      <c r="Y6" s="7" t="n">
        <f aca="false">_xlfn.STDEV.S(D6:W6)</f>
        <v>5.75810641389026</v>
      </c>
      <c r="Z6" s="7" t="n">
        <f aca="false">Y6/X6</f>
        <v>0.0181300579782439</v>
      </c>
    </row>
    <row r="7" customFormat="false" ht="16.75" hidden="false" customHeight="false" outlineLevel="0" collapsed="false">
      <c r="B7" s="4"/>
      <c r="C7" s="5" t="n">
        <v>25</v>
      </c>
      <c r="D7" s="0" t="n">
        <v>301.4</v>
      </c>
      <c r="E7" s="0" t="n">
        <v>303.9</v>
      </c>
      <c r="F7" s="0" t="n">
        <v>310.5</v>
      </c>
      <c r="G7" s="0" t="n">
        <v>307</v>
      </c>
      <c r="H7" s="0" t="n">
        <v>309.9</v>
      </c>
      <c r="I7" s="0" t="n">
        <v>322</v>
      </c>
      <c r="J7" s="0" t="n">
        <v>307.1</v>
      </c>
      <c r="K7" s="0" t="n">
        <v>312.9</v>
      </c>
      <c r="L7" s="0" t="n">
        <v>305.3</v>
      </c>
      <c r="M7" s="0" t="n">
        <v>319.7</v>
      </c>
      <c r="N7" s="0" t="n">
        <v>326.3</v>
      </c>
      <c r="O7" s="0" t="n">
        <v>300.8</v>
      </c>
      <c r="P7" s="0" t="n">
        <v>299.4</v>
      </c>
      <c r="Q7" s="0" t="n">
        <v>316.1</v>
      </c>
      <c r="R7" s="0" t="n">
        <v>317.6</v>
      </c>
      <c r="S7" s="0" t="n">
        <v>321.5</v>
      </c>
      <c r="T7" s="0" t="n">
        <v>308.4</v>
      </c>
      <c r="U7" s="0" t="n">
        <v>302.4</v>
      </c>
      <c r="V7" s="0" t="n">
        <v>309.2</v>
      </c>
      <c r="W7" s="0" t="n">
        <v>312.2</v>
      </c>
      <c r="X7" s="6" t="n">
        <f aca="false">AVERAGE(D7:W7)</f>
        <v>310.68</v>
      </c>
      <c r="Y7" s="7" t="n">
        <f aca="false">_xlfn.STDEV.S(D7:W7)</f>
        <v>7.7591779271559</v>
      </c>
      <c r="Z7" s="7" t="n">
        <f aca="false">Y7/X7</f>
        <v>0.0249748227345046</v>
      </c>
    </row>
    <row r="8" customFormat="false" ht="16.75" hidden="false" customHeight="false" outlineLevel="0" collapsed="false">
      <c r="B8" s="4"/>
      <c r="C8" s="5" t="n">
        <v>38</v>
      </c>
      <c r="D8" s="0" t="n">
        <v>300.4</v>
      </c>
      <c r="E8" s="0" t="n">
        <v>291.3</v>
      </c>
      <c r="F8" s="0" t="n">
        <v>318.7</v>
      </c>
      <c r="G8" s="0" t="n">
        <v>312</v>
      </c>
      <c r="H8" s="0" t="n">
        <v>303.2</v>
      </c>
      <c r="I8" s="0" t="n">
        <v>322.1</v>
      </c>
      <c r="J8" s="0" t="n">
        <v>289.2</v>
      </c>
      <c r="K8" s="0" t="n">
        <v>310.7</v>
      </c>
      <c r="L8" s="0" t="n">
        <v>304.3</v>
      </c>
      <c r="M8" s="0" t="n">
        <v>322.8</v>
      </c>
      <c r="N8" s="0" t="n">
        <v>317.6</v>
      </c>
      <c r="O8" s="0" t="n">
        <v>317.7</v>
      </c>
      <c r="P8" s="0" t="n">
        <v>322.2</v>
      </c>
      <c r="Q8" s="0" t="n">
        <v>311.6</v>
      </c>
      <c r="R8" s="0" t="n">
        <v>317.5</v>
      </c>
      <c r="S8" s="0" t="n">
        <v>297.4</v>
      </c>
      <c r="T8" s="0" t="n">
        <v>316.5</v>
      </c>
      <c r="U8" s="0" t="n">
        <v>308.6</v>
      </c>
      <c r="V8" s="0" t="n">
        <v>309.3</v>
      </c>
      <c r="W8" s="0" t="n">
        <v>312.1</v>
      </c>
      <c r="X8" s="6" t="n">
        <f aca="false">AVERAGE(D8:W8)</f>
        <v>310.26</v>
      </c>
      <c r="Y8" s="7" t="n">
        <f aca="false">_xlfn.STDEV.S(D8:W8)</f>
        <v>9.93364299529105</v>
      </c>
      <c r="Z8" s="7" t="n">
        <f aca="false">Y8/X8</f>
        <v>0.0320171565631762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283</v>
      </c>
      <c r="E9" s="0" t="n">
        <v>278.8</v>
      </c>
      <c r="F9" s="0" t="n">
        <v>288.9</v>
      </c>
      <c r="G9" s="0" t="n">
        <v>284.9</v>
      </c>
      <c r="H9" s="0" t="n">
        <v>289.2</v>
      </c>
      <c r="I9" s="0" t="n">
        <v>283.3</v>
      </c>
      <c r="J9" s="0" t="n">
        <v>284.6</v>
      </c>
      <c r="K9" s="0" t="n">
        <v>282.3</v>
      </c>
      <c r="L9" s="0" t="n">
        <v>285.4</v>
      </c>
      <c r="M9" s="0" t="n">
        <v>287.7</v>
      </c>
      <c r="N9" s="0" t="n">
        <v>289.4</v>
      </c>
      <c r="O9" s="0" t="n">
        <v>279.1</v>
      </c>
      <c r="P9" s="0" t="n">
        <v>278</v>
      </c>
      <c r="Q9" s="0" t="n">
        <v>286.7</v>
      </c>
      <c r="R9" s="0" t="n">
        <v>286.4</v>
      </c>
      <c r="S9" s="0" t="n">
        <v>278.3</v>
      </c>
      <c r="T9" s="0" t="n">
        <v>274.6</v>
      </c>
      <c r="U9" s="0" t="n">
        <v>284.5</v>
      </c>
      <c r="V9" s="0" t="n">
        <v>285.5</v>
      </c>
      <c r="W9" s="0" t="n">
        <v>280.6</v>
      </c>
      <c r="X9" s="6" t="n">
        <f aca="false">AVERAGE(D9:W9)</f>
        <v>283.56</v>
      </c>
      <c r="Y9" s="7" t="n">
        <f aca="false">_xlfn.STDEV.S(D9:W9)</f>
        <v>4.1836020742644</v>
      </c>
      <c r="Z9" s="7" t="n">
        <f aca="false">Y9/X9</f>
        <v>0.0147538512987177</v>
      </c>
    </row>
    <row r="10" customFormat="false" ht="16.75" hidden="false" customHeight="false" outlineLevel="0" collapsed="false">
      <c r="B10" s="4"/>
      <c r="C10" s="5" t="n">
        <v>63</v>
      </c>
      <c r="D10" s="0" t="n">
        <v>297.6</v>
      </c>
      <c r="E10" s="0" t="n">
        <v>290.8</v>
      </c>
      <c r="F10" s="0" t="n">
        <v>273.5</v>
      </c>
      <c r="G10" s="0" t="n">
        <v>296.4</v>
      </c>
      <c r="H10" s="0" t="n">
        <v>281</v>
      </c>
      <c r="I10" s="0" t="n">
        <v>280.8</v>
      </c>
      <c r="J10" s="0" t="n">
        <v>307.8</v>
      </c>
      <c r="K10" s="0" t="n">
        <v>276.9</v>
      </c>
      <c r="L10" s="0" t="n">
        <v>278.9</v>
      </c>
      <c r="M10" s="0" t="n">
        <v>297.5</v>
      </c>
      <c r="N10" s="0" t="n">
        <v>304.9</v>
      </c>
      <c r="O10" s="0" t="n">
        <v>288.3</v>
      </c>
      <c r="P10" s="0" t="n">
        <v>300.2</v>
      </c>
      <c r="Q10" s="0" t="n">
        <v>255.9</v>
      </c>
      <c r="R10" s="0" t="n">
        <v>259.4</v>
      </c>
      <c r="S10" s="0" t="n">
        <v>279.6</v>
      </c>
      <c r="T10" s="0" t="n">
        <v>285.4</v>
      </c>
      <c r="U10" s="0" t="n">
        <v>281.6</v>
      </c>
      <c r="V10" s="0" t="n">
        <v>260</v>
      </c>
      <c r="W10" s="0" t="n">
        <v>254.6</v>
      </c>
      <c r="X10" s="6" t="n">
        <f aca="false">AVERAGE(D10:W10)</f>
        <v>282.555</v>
      </c>
      <c r="Y10" s="7" t="n">
        <f aca="false">_xlfn.STDEV.S(D10:W10)</f>
        <v>16.0225983502907</v>
      </c>
      <c r="Z10" s="7" t="n">
        <f aca="false">Y10/X10</f>
        <v>0.0567061221719335</v>
      </c>
    </row>
    <row r="11" customFormat="false" ht="16.75" hidden="false" customHeight="false" outlineLevel="0" collapsed="false">
      <c r="B11" s="4"/>
      <c r="C11" s="5" t="n">
        <v>93</v>
      </c>
      <c r="D11" s="0" t="n">
        <v>274</v>
      </c>
      <c r="E11" s="0" t="n">
        <v>257.8</v>
      </c>
      <c r="F11" s="0" t="n">
        <v>294.3</v>
      </c>
      <c r="G11" s="0" t="n">
        <v>278.3</v>
      </c>
      <c r="H11" s="0" t="n">
        <v>260.2</v>
      </c>
      <c r="I11" s="0" t="n">
        <v>296.1</v>
      </c>
      <c r="J11" s="0" t="n">
        <v>241.9</v>
      </c>
      <c r="K11" s="0" t="n">
        <v>251.7</v>
      </c>
      <c r="L11" s="0" t="n">
        <v>242.2</v>
      </c>
      <c r="M11" s="0" t="n">
        <v>255</v>
      </c>
      <c r="N11" s="0" t="n">
        <v>306.3</v>
      </c>
      <c r="O11" s="0" t="n">
        <v>238.1</v>
      </c>
      <c r="P11" s="0" t="n">
        <v>286</v>
      </c>
      <c r="Q11" s="0" t="n">
        <v>278.5</v>
      </c>
      <c r="R11" s="0" t="n">
        <v>304.1</v>
      </c>
      <c r="S11" s="0" t="n">
        <v>262.2</v>
      </c>
      <c r="T11" s="0" t="n">
        <v>245.8</v>
      </c>
      <c r="U11" s="0" t="n">
        <v>244.4</v>
      </c>
      <c r="V11" s="0" t="n">
        <v>249</v>
      </c>
      <c r="W11" s="0" t="n">
        <v>260</v>
      </c>
      <c r="X11" s="6" t="n">
        <f aca="false">AVERAGE(D11:W11)</f>
        <v>266.295</v>
      </c>
      <c r="Y11" s="7" t="n">
        <f aca="false">_xlfn.STDEV.S(D11:W11)</f>
        <v>21.907063869182</v>
      </c>
      <c r="Z11" s="7" t="n">
        <f aca="false">Y11/X11</f>
        <v>0.0822661479531424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268</v>
      </c>
      <c r="E12" s="0" t="n">
        <v>252.1</v>
      </c>
      <c r="F12" s="0" t="n">
        <v>244.2</v>
      </c>
      <c r="G12" s="0" t="n">
        <v>247.4</v>
      </c>
      <c r="H12" s="0" t="n">
        <v>271.1</v>
      </c>
      <c r="I12" s="0" t="n">
        <v>281.2</v>
      </c>
      <c r="J12" s="0" t="n">
        <v>267.6</v>
      </c>
      <c r="K12" s="0" t="n">
        <v>273.9</v>
      </c>
      <c r="L12" s="0" t="n">
        <v>280.1</v>
      </c>
      <c r="M12" s="0" t="n">
        <v>267.6</v>
      </c>
      <c r="N12" s="0" t="n">
        <v>254.5</v>
      </c>
      <c r="O12" s="0" t="n">
        <v>262.9</v>
      </c>
      <c r="P12" s="0" t="n">
        <v>275</v>
      </c>
      <c r="Q12" s="0" t="n">
        <v>280.4</v>
      </c>
      <c r="R12" s="0" t="n">
        <v>273.1</v>
      </c>
      <c r="S12" s="0" t="n">
        <v>292.1</v>
      </c>
      <c r="T12" s="0" t="n">
        <v>242</v>
      </c>
      <c r="U12" s="0" t="n">
        <v>274.1</v>
      </c>
      <c r="V12" s="0" t="n">
        <v>252.7</v>
      </c>
      <c r="W12" s="0" t="n">
        <v>256.6</v>
      </c>
      <c r="X12" s="6" t="n">
        <f aca="false">AVERAGE(D12:W12)</f>
        <v>265.83</v>
      </c>
      <c r="Y12" s="7" t="n">
        <f aca="false">_xlfn.STDEV.S(D12:W12)</f>
        <v>13.7838998377398</v>
      </c>
      <c r="Z12" s="7" t="n">
        <f aca="false">Y12/X12</f>
        <v>0.051852311017341</v>
      </c>
    </row>
    <row r="13" customFormat="false" ht="16.75" hidden="false" customHeight="false" outlineLevel="0" collapsed="false">
      <c r="B13" s="4"/>
      <c r="C13" s="5" t="n">
        <v>38</v>
      </c>
      <c r="D13" s="0" t="n">
        <v>287.7</v>
      </c>
      <c r="E13" s="0" t="n">
        <v>272.5</v>
      </c>
      <c r="F13" s="0" t="n">
        <v>279.6</v>
      </c>
      <c r="G13" s="0" t="n">
        <v>265.3</v>
      </c>
      <c r="H13" s="0" t="n">
        <v>281.4</v>
      </c>
      <c r="I13" s="0" t="n">
        <v>286.6</v>
      </c>
      <c r="J13" s="0" t="n">
        <v>297.9</v>
      </c>
      <c r="K13" s="0" t="n">
        <v>286.6</v>
      </c>
      <c r="L13" s="0" t="n">
        <v>269.8</v>
      </c>
      <c r="M13" s="0" t="n">
        <v>296.7</v>
      </c>
      <c r="N13" s="0" t="n">
        <v>271.5</v>
      </c>
      <c r="O13" s="0" t="n">
        <v>274.1</v>
      </c>
      <c r="P13" s="0" t="n">
        <v>278.7</v>
      </c>
      <c r="Q13" s="0" t="n">
        <v>287.4</v>
      </c>
      <c r="R13" s="0" t="n">
        <v>282.8</v>
      </c>
      <c r="S13" s="0" t="n">
        <v>273.5</v>
      </c>
      <c r="T13" s="0" t="n">
        <v>287.9</v>
      </c>
      <c r="U13" s="0" t="n">
        <v>270</v>
      </c>
      <c r="V13" s="0" t="n">
        <v>268.4</v>
      </c>
      <c r="W13" s="0" t="n">
        <v>274.2</v>
      </c>
      <c r="X13" s="6" t="n">
        <f aca="false">AVERAGE(D13:W13)</f>
        <v>279.63</v>
      </c>
      <c r="Y13" s="7" t="n">
        <f aca="false">_xlfn.STDEV.S(D13:W13)</f>
        <v>9.36309103257094</v>
      </c>
      <c r="Z13" s="7" t="n">
        <f aca="false">Y13/X13</f>
        <v>0.0334838573564029</v>
      </c>
    </row>
    <row r="14" customFormat="false" ht="16.75" hidden="false" customHeight="false" outlineLevel="0" collapsed="false">
      <c r="B14" s="4"/>
      <c r="C14" s="5" t="n">
        <v>50</v>
      </c>
      <c r="D14" s="0" t="n">
        <v>285.6</v>
      </c>
      <c r="E14" s="0" t="n">
        <v>264.5</v>
      </c>
      <c r="F14" s="0" t="n">
        <v>255.4</v>
      </c>
      <c r="G14" s="0" t="n">
        <v>288.2</v>
      </c>
      <c r="H14" s="0" t="n">
        <v>285.5</v>
      </c>
      <c r="I14" s="0" t="n">
        <v>267.6</v>
      </c>
      <c r="J14" s="0" t="n">
        <v>283.3</v>
      </c>
      <c r="K14" s="0" t="n">
        <v>220.8</v>
      </c>
      <c r="L14" s="0" t="n">
        <v>266.3</v>
      </c>
      <c r="M14" s="0" t="n">
        <v>270.6</v>
      </c>
      <c r="N14" s="0" t="n">
        <v>290.4</v>
      </c>
      <c r="O14" s="0" t="n">
        <v>266</v>
      </c>
      <c r="P14" s="0" t="n">
        <v>283.7</v>
      </c>
      <c r="Q14" s="0" t="n">
        <v>243.1</v>
      </c>
      <c r="R14" s="0" t="n">
        <v>282.6</v>
      </c>
      <c r="S14" s="0" t="n">
        <v>258.2</v>
      </c>
      <c r="T14" s="0" t="n">
        <v>283.2</v>
      </c>
      <c r="U14" s="0" t="n">
        <v>264.5</v>
      </c>
      <c r="V14" s="0" t="n">
        <v>284.5</v>
      </c>
      <c r="W14" s="0" t="n">
        <v>275.6</v>
      </c>
      <c r="X14" s="6" t="n">
        <f aca="false">AVERAGE(D14:W14)</f>
        <v>270.98</v>
      </c>
      <c r="Y14" s="7" t="n">
        <f aca="false">_xlfn.STDEV.S(D14:W14)</f>
        <v>17.3871579954257</v>
      </c>
      <c r="Z14" s="7" t="n">
        <f aca="false">Y14/X14</f>
        <v>0.0641639899454781</v>
      </c>
    </row>
    <row r="15" customFormat="false" ht="16.75" hidden="false" customHeight="false" outlineLevel="0" collapsed="false">
      <c r="B15" s="4"/>
      <c r="C15" s="5" t="n">
        <v>75</v>
      </c>
      <c r="D15" s="0" t="n">
        <v>256.6</v>
      </c>
      <c r="E15" s="0" t="n">
        <v>249.6</v>
      </c>
      <c r="F15" s="0" t="n">
        <v>260.4</v>
      </c>
      <c r="G15" s="0" t="n">
        <v>228.9</v>
      </c>
      <c r="H15" s="0" t="n">
        <v>262.2</v>
      </c>
      <c r="I15" s="0" t="n">
        <v>239.7</v>
      </c>
      <c r="J15" s="0" t="n">
        <v>237.6</v>
      </c>
      <c r="K15" s="0" t="n">
        <v>262</v>
      </c>
      <c r="L15" s="0" t="n">
        <v>247.9</v>
      </c>
      <c r="M15" s="0" t="n">
        <v>308.3</v>
      </c>
      <c r="N15" s="0" t="n">
        <v>273.9</v>
      </c>
      <c r="O15" s="0" t="n">
        <v>262</v>
      </c>
      <c r="P15" s="0" t="n">
        <v>279.9</v>
      </c>
      <c r="Q15" s="0" t="n">
        <v>279.7</v>
      </c>
      <c r="R15" s="0" t="n">
        <v>268.8</v>
      </c>
      <c r="S15" s="0" t="n">
        <v>282.9</v>
      </c>
      <c r="T15" s="0" t="n">
        <v>249.8</v>
      </c>
      <c r="U15" s="0" t="n">
        <v>287.4</v>
      </c>
      <c r="V15" s="0" t="n">
        <v>271.3</v>
      </c>
      <c r="W15" s="0" t="n">
        <v>243.3</v>
      </c>
      <c r="X15" s="6" t="n">
        <f aca="false">AVERAGE(D15:W15)</f>
        <v>262.61</v>
      </c>
      <c r="Y15" s="7" t="n">
        <f aca="false">_xlfn.STDEV.S(D15:W15)</f>
        <v>19.4630256748804</v>
      </c>
      <c r="Z15" s="7" t="n">
        <f aca="false">Y15/X15</f>
        <v>0.0741138025013532</v>
      </c>
    </row>
    <row r="16" customFormat="false" ht="16.75" hidden="false" customHeight="false" outlineLevel="0" collapsed="false">
      <c r="B16" s="4"/>
      <c r="C16" s="5" t="n">
        <v>100</v>
      </c>
      <c r="D16" s="0" t="n">
        <v>230.2</v>
      </c>
      <c r="E16" s="0" t="n">
        <v>223.6</v>
      </c>
      <c r="F16" s="0" t="n">
        <v>198.4</v>
      </c>
      <c r="G16" s="0" t="n">
        <v>245.3</v>
      </c>
      <c r="H16" s="0" t="n">
        <v>248</v>
      </c>
      <c r="I16" s="0" t="n">
        <v>268.3</v>
      </c>
      <c r="J16" s="0" t="n">
        <v>249</v>
      </c>
      <c r="K16" s="0" t="n">
        <v>231.5</v>
      </c>
      <c r="L16" s="0" t="n">
        <v>201.3</v>
      </c>
      <c r="M16" s="0" t="n">
        <v>223.1</v>
      </c>
      <c r="N16" s="0" t="n">
        <v>260</v>
      </c>
      <c r="O16" s="0" t="n">
        <v>257.3</v>
      </c>
      <c r="P16" s="0" t="n">
        <v>217.6</v>
      </c>
      <c r="Q16" s="0" t="n">
        <v>260.7</v>
      </c>
      <c r="R16" s="0" t="n">
        <v>253.6</v>
      </c>
      <c r="S16" s="0" t="n">
        <v>246.2</v>
      </c>
      <c r="T16" s="0" t="n">
        <v>259.8</v>
      </c>
      <c r="U16" s="0" t="n">
        <v>220</v>
      </c>
      <c r="V16" s="0" t="n">
        <v>241.7</v>
      </c>
      <c r="W16" s="0" t="n">
        <v>243</v>
      </c>
      <c r="X16" s="6" t="n">
        <f aca="false">AVERAGE(D16:W16)</f>
        <v>238.93</v>
      </c>
      <c r="Y16" s="7" t="n">
        <f aca="false">_xlfn.STDEV.S(D16:W16)</f>
        <v>19.9460614764182</v>
      </c>
      <c r="Z16" s="7" t="n">
        <f aca="false">Y16/X16</f>
        <v>0.0834807746051905</v>
      </c>
    </row>
    <row r="17" customFormat="false" ht="16.75" hidden="false" customHeight="false" outlineLevel="0" collapsed="false">
      <c r="B17" s="4"/>
      <c r="C17" s="5" t="n">
        <v>150</v>
      </c>
      <c r="D17" s="0" t="n">
        <v>237.1</v>
      </c>
      <c r="E17" s="0" t="n">
        <v>228.9</v>
      </c>
      <c r="F17" s="0" t="n">
        <v>246.2</v>
      </c>
      <c r="G17" s="0" t="n">
        <v>265.4</v>
      </c>
      <c r="H17" s="0" t="n">
        <v>221.7</v>
      </c>
      <c r="I17" s="0" t="n">
        <v>276</v>
      </c>
      <c r="J17" s="0" t="n">
        <v>205.8</v>
      </c>
      <c r="K17" s="0" t="n">
        <v>267.8</v>
      </c>
      <c r="L17" s="0" t="n">
        <v>265.6</v>
      </c>
      <c r="M17" s="0" t="n">
        <v>287.4</v>
      </c>
      <c r="N17" s="0" t="n">
        <v>215.1</v>
      </c>
      <c r="O17" s="0" t="n">
        <v>219.6</v>
      </c>
      <c r="P17" s="0" t="n">
        <v>267.7</v>
      </c>
      <c r="Q17" s="0" t="n">
        <v>246.8</v>
      </c>
      <c r="R17" s="0" t="n">
        <v>275.2</v>
      </c>
      <c r="S17" s="0" t="n">
        <v>231.9</v>
      </c>
      <c r="T17" s="0" t="n">
        <v>289</v>
      </c>
      <c r="U17" s="0" t="n">
        <v>268</v>
      </c>
      <c r="V17" s="0" t="n">
        <v>227.9</v>
      </c>
      <c r="W17" s="0" t="n">
        <v>270.3</v>
      </c>
      <c r="X17" s="6" t="n">
        <f aca="false">AVERAGE(D17:W17)</f>
        <v>250.67</v>
      </c>
      <c r="Y17" s="7" t="n">
        <f aca="false">_xlfn.STDEV.S(D17:W17)</f>
        <v>25.5647598730835</v>
      </c>
      <c r="Z17" s="7" t="n">
        <f aca="false">Y17/X17</f>
        <v>0.101985717768714</v>
      </c>
    </row>
    <row r="18" customFormat="false" ht="15" hidden="false" customHeight="true" outlineLevel="0" collapsed="false">
      <c r="A18" s="1" t="s">
        <v>38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311.6</v>
      </c>
      <c r="E23" s="0" t="n">
        <v>320.9</v>
      </c>
      <c r="F23" s="0" t="n">
        <v>320.1</v>
      </c>
      <c r="G23" s="0" t="n">
        <v>320</v>
      </c>
      <c r="H23" s="0" t="n">
        <v>321</v>
      </c>
      <c r="I23" s="0" t="n">
        <v>322.2</v>
      </c>
      <c r="J23" s="0" t="n">
        <v>321.2</v>
      </c>
      <c r="K23" s="0" t="n">
        <v>316.3</v>
      </c>
      <c r="L23" s="0" t="n">
        <v>322.3</v>
      </c>
      <c r="M23" s="0" t="n">
        <v>322</v>
      </c>
      <c r="N23" s="0" t="n">
        <v>322.4</v>
      </c>
      <c r="O23" s="0" t="n">
        <v>319.7</v>
      </c>
      <c r="P23" s="0" t="n">
        <v>323.2</v>
      </c>
      <c r="Q23" s="0" t="n">
        <v>327.7</v>
      </c>
      <c r="R23" s="0" t="n">
        <v>320.6</v>
      </c>
      <c r="S23" s="0" t="n">
        <v>318.3</v>
      </c>
      <c r="T23" s="0" t="n">
        <v>317.6</v>
      </c>
      <c r="U23" s="0" t="n">
        <v>314.3</v>
      </c>
      <c r="V23" s="0" t="n">
        <v>307.9</v>
      </c>
      <c r="W23" s="0" t="n">
        <v>321.9</v>
      </c>
      <c r="X23" s="6" t="n">
        <f aca="false">AVERAGE(D23:W23)</f>
        <v>319.56</v>
      </c>
      <c r="Y23" s="7" t="n">
        <f aca="false">_xlfn.STDEV.S(D23:W23)</f>
        <v>4.38098763198196</v>
      </c>
      <c r="Z23" s="7" t="n">
        <f aca="false">Y23/X23</f>
        <v>0.0137094368255788</v>
      </c>
    </row>
    <row r="24" customFormat="false" ht="16.75" hidden="false" customHeight="false" outlineLevel="0" collapsed="false">
      <c r="B24" s="4"/>
      <c r="C24" s="5" t="n">
        <v>25</v>
      </c>
      <c r="D24" s="0" t="n">
        <v>331.2</v>
      </c>
      <c r="E24" s="0" t="n">
        <v>327.2</v>
      </c>
      <c r="F24" s="0" t="n">
        <v>321</v>
      </c>
      <c r="G24" s="0" t="n">
        <v>326.2</v>
      </c>
      <c r="H24" s="0" t="n">
        <v>322.3</v>
      </c>
      <c r="I24" s="0" t="n">
        <v>329.5</v>
      </c>
      <c r="J24" s="0" t="n">
        <v>357.6</v>
      </c>
      <c r="K24" s="0" t="n">
        <v>326</v>
      </c>
      <c r="L24" s="0" t="n">
        <v>331.4</v>
      </c>
      <c r="M24" s="0" t="n">
        <v>328.2</v>
      </c>
      <c r="N24" s="0" t="n">
        <v>326.2</v>
      </c>
      <c r="O24" s="0" t="n">
        <v>322.9</v>
      </c>
      <c r="P24" s="0" t="n">
        <v>327.3</v>
      </c>
      <c r="Q24" s="0" t="n">
        <v>328.8</v>
      </c>
      <c r="R24" s="0" t="n">
        <v>321.1</v>
      </c>
      <c r="S24" s="0" t="n">
        <v>328.9</v>
      </c>
      <c r="T24" s="0" t="n">
        <v>326</v>
      </c>
      <c r="U24" s="0" t="n">
        <v>326.7</v>
      </c>
      <c r="V24" s="0" t="n">
        <v>327.2</v>
      </c>
      <c r="W24" s="0" t="n">
        <v>317.4</v>
      </c>
      <c r="X24" s="6" t="n">
        <f aca="false">AVERAGE(D24:W24)</f>
        <v>327.655</v>
      </c>
      <c r="Y24" s="7" t="n">
        <f aca="false">_xlfn.STDEV.S(D24:W24)</f>
        <v>7.89646656489638</v>
      </c>
      <c r="Z24" s="7" t="n">
        <f aca="false">Y24/X24</f>
        <v>0.0240999422102406</v>
      </c>
    </row>
    <row r="25" customFormat="false" ht="16.75" hidden="false" customHeight="false" outlineLevel="0" collapsed="false">
      <c r="B25" s="4"/>
      <c r="C25" s="5" t="n">
        <v>38</v>
      </c>
      <c r="D25" s="0" t="n">
        <v>326.6</v>
      </c>
      <c r="E25" s="0" t="n">
        <v>320.1</v>
      </c>
      <c r="F25" s="0" t="n">
        <v>324.3</v>
      </c>
      <c r="G25" s="0" t="n">
        <v>323.1</v>
      </c>
      <c r="H25" s="0" t="n">
        <v>321.2</v>
      </c>
      <c r="I25" s="0" t="n">
        <v>323</v>
      </c>
      <c r="J25" s="0" t="n">
        <v>340.7</v>
      </c>
      <c r="K25" s="0" t="n">
        <v>320.9</v>
      </c>
      <c r="L25" s="0" t="n">
        <v>322.2</v>
      </c>
      <c r="M25" s="0" t="n">
        <v>314.7</v>
      </c>
      <c r="N25" s="0" t="n">
        <v>320.8</v>
      </c>
      <c r="O25" s="0" t="n">
        <v>318.2</v>
      </c>
      <c r="P25" s="0" t="n">
        <v>325.3</v>
      </c>
      <c r="Q25" s="0" t="n">
        <v>322.4</v>
      </c>
      <c r="R25" s="0" t="n">
        <v>322.5</v>
      </c>
      <c r="S25" s="0" t="n">
        <v>323.7</v>
      </c>
      <c r="T25" s="0" t="n">
        <v>320.8</v>
      </c>
      <c r="U25" s="0" t="n">
        <v>319.3</v>
      </c>
      <c r="V25" s="0" t="n">
        <v>321.1</v>
      </c>
      <c r="W25" s="0" t="n">
        <v>317.3</v>
      </c>
      <c r="X25" s="6" t="n">
        <f aca="false">AVERAGE(D25:W25)</f>
        <v>322.41</v>
      </c>
      <c r="Y25" s="7" t="n">
        <f aca="false">_xlfn.STDEV.S(D25:W25)</f>
        <v>5.10664170210562</v>
      </c>
      <c r="Z25" s="7" t="n">
        <f aca="false">Y25/X25</f>
        <v>0.0158389680906474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315.7</v>
      </c>
      <c r="E26" s="0" t="n">
        <v>341.7</v>
      </c>
      <c r="F26" s="0" t="n">
        <v>314.1</v>
      </c>
      <c r="G26" s="0" t="n">
        <v>308.6</v>
      </c>
      <c r="H26" s="0" t="n">
        <v>322.4</v>
      </c>
      <c r="I26" s="0" t="n">
        <v>317.4</v>
      </c>
      <c r="J26" s="0" t="n">
        <v>314.3</v>
      </c>
      <c r="K26" s="0" t="n">
        <v>318.1</v>
      </c>
      <c r="L26" s="0" t="n">
        <v>322.9</v>
      </c>
      <c r="M26" s="0" t="n">
        <v>323</v>
      </c>
      <c r="N26" s="0" t="n">
        <v>315.1</v>
      </c>
      <c r="O26" s="0" t="n">
        <v>324.7</v>
      </c>
      <c r="P26" s="0" t="n">
        <v>331.1</v>
      </c>
      <c r="Q26" s="0" t="n">
        <v>314.6</v>
      </c>
      <c r="R26" s="0" t="n">
        <v>311.9</v>
      </c>
      <c r="S26" s="0" t="n">
        <v>317.5</v>
      </c>
      <c r="T26" s="0" t="n">
        <v>320.7</v>
      </c>
      <c r="U26" s="0" t="n">
        <v>325.7</v>
      </c>
      <c r="V26" s="0" t="n">
        <v>327.9</v>
      </c>
      <c r="W26" s="0" t="n">
        <v>325.1</v>
      </c>
      <c r="X26" s="6" t="n">
        <f aca="false">AVERAGE(D26:W26)</f>
        <v>320.625</v>
      </c>
      <c r="Y26" s="7" t="n">
        <f aca="false">_xlfn.STDEV.S(D26:W26)</f>
        <v>7.62301742991855</v>
      </c>
      <c r="Z26" s="7" t="n">
        <f aca="false">Y26/X26</f>
        <v>0.0237754929588103</v>
      </c>
    </row>
    <row r="27" customFormat="false" ht="16.75" hidden="false" customHeight="false" outlineLevel="0" collapsed="false">
      <c r="B27" s="4"/>
      <c r="C27" s="5" t="n">
        <v>63</v>
      </c>
      <c r="D27" s="0" t="n">
        <v>328.1</v>
      </c>
      <c r="E27" s="0" t="n">
        <v>344.8</v>
      </c>
      <c r="F27" s="0" t="n">
        <v>320.8</v>
      </c>
      <c r="G27" s="0" t="n">
        <v>339.2</v>
      </c>
      <c r="H27" s="0" t="n">
        <v>324.8</v>
      </c>
      <c r="I27" s="0" t="n">
        <v>314.9</v>
      </c>
      <c r="J27" s="0" t="n">
        <v>334.6</v>
      </c>
      <c r="K27" s="0" t="n">
        <v>331.3</v>
      </c>
      <c r="L27" s="0" t="n">
        <v>342.8</v>
      </c>
      <c r="M27" s="0" t="n">
        <v>320.2</v>
      </c>
      <c r="N27" s="0" t="n">
        <v>318.9</v>
      </c>
      <c r="O27" s="0" t="n">
        <v>326.7</v>
      </c>
      <c r="P27" s="0" t="n">
        <v>342.1</v>
      </c>
      <c r="Q27" s="0" t="n">
        <v>326.5</v>
      </c>
      <c r="R27" s="0" t="n">
        <v>337.8</v>
      </c>
      <c r="S27" s="0" t="n">
        <v>315.2</v>
      </c>
      <c r="T27" s="0" t="n">
        <v>339.5</v>
      </c>
      <c r="U27" s="0" t="n">
        <v>326.4</v>
      </c>
      <c r="V27" s="0" t="n">
        <v>336.9</v>
      </c>
      <c r="W27" s="0" t="n">
        <v>330.2</v>
      </c>
      <c r="X27" s="6" t="n">
        <f aca="false">AVERAGE(D27:W27)</f>
        <v>330.085</v>
      </c>
      <c r="Y27" s="7" t="n">
        <f aca="false">_xlfn.STDEV.S(D27:W27)</f>
        <v>9.32756384960302</v>
      </c>
      <c r="Z27" s="7" t="n">
        <f aca="false">Y27/X27</f>
        <v>0.0282580664059349</v>
      </c>
    </row>
    <row r="28" customFormat="false" ht="16.75" hidden="false" customHeight="false" outlineLevel="0" collapsed="false">
      <c r="B28" s="4"/>
      <c r="C28" s="5" t="n">
        <v>93</v>
      </c>
      <c r="D28" s="0" t="n">
        <v>318.5</v>
      </c>
      <c r="E28" s="0" t="n">
        <v>335.4</v>
      </c>
      <c r="F28" s="0" t="n">
        <v>327.1</v>
      </c>
      <c r="G28" s="0" t="n">
        <v>318.4</v>
      </c>
      <c r="H28" s="0" t="n">
        <v>325</v>
      </c>
      <c r="I28" s="0" t="n">
        <v>315.1</v>
      </c>
      <c r="J28" s="0" t="n">
        <v>326.3</v>
      </c>
      <c r="K28" s="0" t="n">
        <v>318.8</v>
      </c>
      <c r="L28" s="0" t="n">
        <v>333.7</v>
      </c>
      <c r="M28" s="0" t="n">
        <v>328</v>
      </c>
      <c r="N28" s="0" t="n">
        <v>340</v>
      </c>
      <c r="O28" s="0" t="n">
        <v>338.6</v>
      </c>
      <c r="P28" s="0" t="n">
        <v>332.3</v>
      </c>
      <c r="Q28" s="0" t="n">
        <v>327</v>
      </c>
      <c r="R28" s="0" t="n">
        <v>313.7</v>
      </c>
      <c r="S28" s="0" t="n">
        <v>336.8</v>
      </c>
      <c r="T28" s="0" t="n">
        <v>320</v>
      </c>
      <c r="U28" s="0" t="n">
        <v>319.1</v>
      </c>
      <c r="V28" s="0" t="n">
        <v>336.3</v>
      </c>
      <c r="W28" s="0" t="n">
        <v>328</v>
      </c>
      <c r="X28" s="6" t="n">
        <f aca="false">AVERAGE(D28:W28)</f>
        <v>326.905</v>
      </c>
      <c r="Y28" s="7" t="n">
        <f aca="false">_xlfn.STDEV.S(D28:W28)</f>
        <v>8.20561264911819</v>
      </c>
      <c r="Z28" s="7" t="n">
        <f aca="false">Y28/X28</f>
        <v>0.0251009089769755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298.4</v>
      </c>
      <c r="E29" s="0" t="n">
        <v>302.9</v>
      </c>
      <c r="F29" s="0" t="n">
        <v>294.4</v>
      </c>
      <c r="G29" s="0" t="n">
        <v>296.2</v>
      </c>
      <c r="H29" s="0" t="n">
        <v>321</v>
      </c>
      <c r="I29" s="0" t="n">
        <v>311.6</v>
      </c>
      <c r="J29" s="0" t="n">
        <v>283.1</v>
      </c>
      <c r="K29" s="0" t="n">
        <v>316.5</v>
      </c>
      <c r="L29" s="0" t="n">
        <v>299.9</v>
      </c>
      <c r="M29" s="0" t="n">
        <v>326.7</v>
      </c>
      <c r="N29" s="0" t="n">
        <v>288.5</v>
      </c>
      <c r="O29" s="0" t="n">
        <v>307.2</v>
      </c>
      <c r="P29" s="0" t="n">
        <v>326</v>
      </c>
      <c r="Q29" s="0" t="n">
        <v>312.6</v>
      </c>
      <c r="R29" s="0" t="n">
        <v>299.1</v>
      </c>
      <c r="S29" s="0" t="n">
        <v>290.1</v>
      </c>
      <c r="T29" s="0" t="n">
        <v>296.5</v>
      </c>
      <c r="U29" s="0" t="n">
        <v>300.5</v>
      </c>
      <c r="V29" s="0" t="n">
        <v>299.8</v>
      </c>
      <c r="W29" s="0" t="n">
        <v>302.2</v>
      </c>
      <c r="X29" s="6" t="n">
        <f aca="false">AVERAGE(D29:W29)</f>
        <v>303.66</v>
      </c>
      <c r="Y29" s="7" t="n">
        <f aca="false">_xlfn.STDEV.S(D29:W29)</f>
        <v>12.0748281016423</v>
      </c>
      <c r="Z29" s="7" t="n">
        <f aca="false">Y29/X29</f>
        <v>0.0397643025147938</v>
      </c>
    </row>
    <row r="30" customFormat="false" ht="16.75" hidden="false" customHeight="false" outlineLevel="0" collapsed="false">
      <c r="B30" s="4"/>
      <c r="C30" s="5" t="n">
        <v>38</v>
      </c>
      <c r="D30" s="0" t="n">
        <v>320</v>
      </c>
      <c r="E30" s="0" t="n">
        <v>312.2</v>
      </c>
      <c r="F30" s="0" t="n">
        <v>302.3</v>
      </c>
      <c r="G30" s="0" t="n">
        <v>294.6</v>
      </c>
      <c r="H30" s="0" t="n">
        <v>319.5</v>
      </c>
      <c r="I30" s="0" t="n">
        <v>296.3</v>
      </c>
      <c r="J30" s="0" t="n">
        <v>308.6</v>
      </c>
      <c r="K30" s="0" t="n">
        <v>306.6</v>
      </c>
      <c r="L30" s="0" t="n">
        <v>314.1</v>
      </c>
      <c r="M30" s="0" t="n">
        <v>312.7</v>
      </c>
      <c r="N30" s="0" t="n">
        <v>312.3</v>
      </c>
      <c r="O30" s="0" t="n">
        <v>306.3</v>
      </c>
      <c r="P30" s="0" t="n">
        <v>305.7</v>
      </c>
      <c r="Q30" s="0" t="n">
        <v>322.4</v>
      </c>
      <c r="R30" s="0" t="n">
        <v>303.7</v>
      </c>
      <c r="S30" s="0" t="n">
        <v>308.7</v>
      </c>
      <c r="T30" s="0" t="n">
        <v>326.6</v>
      </c>
      <c r="U30" s="0" t="n">
        <v>294.1</v>
      </c>
      <c r="V30" s="0" t="n">
        <v>317.6</v>
      </c>
      <c r="W30" s="0" t="n">
        <v>324</v>
      </c>
      <c r="X30" s="6" t="n">
        <f aca="false">AVERAGE(D30:W30)</f>
        <v>310.415</v>
      </c>
      <c r="Y30" s="7" t="n">
        <f aca="false">_xlfn.STDEV.S(D30:W30)</f>
        <v>9.53703446128771</v>
      </c>
      <c r="Z30" s="7" t="n">
        <f aca="false">Y30/X30</f>
        <v>0.0307234974511145</v>
      </c>
    </row>
    <row r="31" customFormat="false" ht="16.75" hidden="false" customHeight="false" outlineLevel="0" collapsed="false">
      <c r="B31" s="4"/>
      <c r="C31" s="5" t="n">
        <v>50</v>
      </c>
      <c r="D31" s="0" t="n">
        <v>326.5</v>
      </c>
      <c r="E31" s="0" t="n">
        <v>320.5</v>
      </c>
      <c r="F31" s="0" t="n">
        <v>310.5</v>
      </c>
      <c r="G31" s="0" t="n">
        <v>308</v>
      </c>
      <c r="H31" s="0" t="n">
        <v>325.1</v>
      </c>
      <c r="I31" s="0" t="n">
        <v>309</v>
      </c>
      <c r="J31" s="0" t="n">
        <v>342.5</v>
      </c>
      <c r="K31" s="0" t="n">
        <v>321.6</v>
      </c>
      <c r="L31" s="0" t="n">
        <v>342.8</v>
      </c>
      <c r="M31" s="0" t="n">
        <v>315.4</v>
      </c>
      <c r="N31" s="0" t="n">
        <v>314.7</v>
      </c>
      <c r="O31" s="0" t="n">
        <v>310.2</v>
      </c>
      <c r="P31" s="0" t="n">
        <v>305</v>
      </c>
      <c r="Q31" s="0" t="n">
        <v>333.2</v>
      </c>
      <c r="R31" s="0" t="n">
        <v>330</v>
      </c>
      <c r="S31" s="0" t="n">
        <v>320.4</v>
      </c>
      <c r="T31" s="0" t="n">
        <v>310.2</v>
      </c>
      <c r="U31" s="0" t="n">
        <v>339.7</v>
      </c>
      <c r="V31" s="0" t="n">
        <v>304.8</v>
      </c>
      <c r="W31" s="0" t="n">
        <v>310.8</v>
      </c>
      <c r="X31" s="6" t="n">
        <f aca="false">AVERAGE(D31:W31)</f>
        <v>320.045</v>
      </c>
      <c r="Y31" s="7" t="n">
        <f aca="false">_xlfn.STDEV.S(D31:W31)</f>
        <v>12.3477453727178</v>
      </c>
      <c r="Z31" s="7" t="n">
        <f aca="false">Y31/X31</f>
        <v>0.0385812787974122</v>
      </c>
    </row>
    <row r="32" customFormat="false" ht="16.75" hidden="false" customHeight="false" outlineLevel="0" collapsed="false">
      <c r="B32" s="4"/>
      <c r="C32" s="5" t="n">
        <v>75</v>
      </c>
      <c r="D32" s="0" t="n">
        <v>305.5</v>
      </c>
      <c r="E32" s="0" t="n">
        <v>298.2</v>
      </c>
      <c r="F32" s="0" t="n">
        <v>312.5</v>
      </c>
      <c r="G32" s="0" t="n">
        <v>307.7</v>
      </c>
      <c r="H32" s="0" t="n">
        <v>289.1</v>
      </c>
      <c r="I32" s="0" t="n">
        <v>275.4</v>
      </c>
      <c r="J32" s="0" t="n">
        <v>295.3</v>
      </c>
      <c r="K32" s="0" t="n">
        <v>326.9</v>
      </c>
      <c r="L32" s="0" t="n">
        <v>293.2</v>
      </c>
      <c r="M32" s="0" t="n">
        <v>293.7</v>
      </c>
      <c r="N32" s="0" t="n">
        <v>277.6</v>
      </c>
      <c r="O32" s="0" t="n">
        <v>292.8</v>
      </c>
      <c r="P32" s="0" t="n">
        <v>284.2</v>
      </c>
      <c r="Q32" s="0" t="n">
        <v>292.5</v>
      </c>
      <c r="R32" s="0" t="n">
        <v>300.2</v>
      </c>
      <c r="S32" s="0" t="n">
        <v>306.9</v>
      </c>
      <c r="T32" s="0" t="n">
        <v>308.6</v>
      </c>
      <c r="U32" s="0" t="n">
        <v>317</v>
      </c>
      <c r="V32" s="0" t="n">
        <v>296.5</v>
      </c>
      <c r="W32" s="0" t="n">
        <v>283.6</v>
      </c>
      <c r="X32" s="6" t="n">
        <f aca="false">AVERAGE(D32:W32)</f>
        <v>297.87</v>
      </c>
      <c r="Y32" s="7" t="n">
        <f aca="false">_xlfn.STDEV.S(D32:W32)</f>
        <v>13.1092614911026</v>
      </c>
      <c r="Z32" s="7" t="n">
        <f aca="false">Y32/X32</f>
        <v>0.0440100093702037</v>
      </c>
    </row>
    <row r="33" customFormat="false" ht="16.75" hidden="false" customHeight="false" outlineLevel="0" collapsed="false">
      <c r="B33" s="4"/>
      <c r="C33" s="5" t="n">
        <v>100</v>
      </c>
      <c r="D33" s="0" t="n">
        <v>308.5</v>
      </c>
      <c r="E33" s="0" t="n">
        <v>296</v>
      </c>
      <c r="F33" s="0" t="n">
        <v>299</v>
      </c>
      <c r="G33" s="0" t="n">
        <v>312.9</v>
      </c>
      <c r="H33" s="0" t="n">
        <v>334.8</v>
      </c>
      <c r="I33" s="0" t="n">
        <v>309.4</v>
      </c>
      <c r="J33" s="0" t="n">
        <v>328.3</v>
      </c>
      <c r="K33" s="0" t="n">
        <v>320.4</v>
      </c>
      <c r="L33" s="0" t="n">
        <v>303.5</v>
      </c>
      <c r="M33" s="0" t="n">
        <v>345.1</v>
      </c>
      <c r="N33" s="0" t="n">
        <v>319.3</v>
      </c>
      <c r="O33" s="0" t="n">
        <v>303.8</v>
      </c>
      <c r="P33" s="0" t="n">
        <v>313.9</v>
      </c>
      <c r="Q33" s="0" t="n">
        <v>310.7</v>
      </c>
      <c r="R33" s="0" t="n">
        <v>314.1</v>
      </c>
      <c r="S33" s="0" t="n">
        <v>302.3</v>
      </c>
      <c r="T33" s="0" t="n">
        <v>296.4</v>
      </c>
      <c r="U33" s="0" t="n">
        <v>309.8</v>
      </c>
      <c r="V33" s="0" t="n">
        <v>303.9</v>
      </c>
      <c r="W33" s="0" t="n">
        <v>299.6</v>
      </c>
      <c r="X33" s="6" t="n">
        <f aca="false">AVERAGE(D33:W33)</f>
        <v>311.585</v>
      </c>
      <c r="Y33" s="7" t="n">
        <f aca="false">_xlfn.STDEV.S(D33:W33)</f>
        <v>12.8906851314387</v>
      </c>
      <c r="Z33" s="7" t="n">
        <f aca="false">Y33/X33</f>
        <v>0.0413713276680158</v>
      </c>
    </row>
    <row r="34" customFormat="false" ht="16.75" hidden="false" customHeight="false" outlineLevel="0" collapsed="false">
      <c r="B34" s="4"/>
      <c r="C34" s="5" t="n">
        <v>150</v>
      </c>
      <c r="D34" s="0" t="n">
        <v>331</v>
      </c>
      <c r="E34" s="0" t="n">
        <v>323.8</v>
      </c>
      <c r="F34" s="0" t="n">
        <v>347.4</v>
      </c>
      <c r="G34" s="0" t="n">
        <v>330.8</v>
      </c>
      <c r="H34" s="0" t="n">
        <v>341.4</v>
      </c>
      <c r="I34" s="0" t="n">
        <v>330.2</v>
      </c>
      <c r="J34" s="0" t="n">
        <v>336.2</v>
      </c>
      <c r="K34" s="0" t="n">
        <v>328.9</v>
      </c>
      <c r="L34" s="0" t="n">
        <v>340</v>
      </c>
      <c r="M34" s="0" t="n">
        <v>313.8</v>
      </c>
      <c r="N34" s="0" t="n">
        <v>331</v>
      </c>
      <c r="O34" s="0" t="n">
        <v>315.7</v>
      </c>
      <c r="P34" s="0" t="n">
        <v>334</v>
      </c>
      <c r="Q34" s="0" t="n">
        <v>325.4</v>
      </c>
      <c r="R34" s="0" t="n">
        <v>343.4</v>
      </c>
      <c r="S34" s="0" t="n">
        <v>320.4</v>
      </c>
      <c r="T34" s="0" t="n">
        <v>321.4</v>
      </c>
      <c r="U34" s="0" t="n">
        <v>303.4</v>
      </c>
      <c r="V34" s="0" t="n">
        <v>321.2</v>
      </c>
      <c r="W34" s="0" t="n">
        <v>305.3</v>
      </c>
      <c r="X34" s="6" t="n">
        <f aca="false">AVERAGE(D34:W34)</f>
        <v>327.235</v>
      </c>
      <c r="Y34" s="7" t="n">
        <f aca="false">_xlfn.STDEV.S(D34:W34)</f>
        <v>11.9328063933449</v>
      </c>
      <c r="Z34" s="7" t="n">
        <f aca="false">Y34/X34</f>
        <v>0.0364655565368768</v>
      </c>
    </row>
    <row r="35" customFormat="false" ht="15" hidden="false" customHeight="true" outlineLevel="0" collapsed="false">
      <c r="A35" s="1" t="s">
        <v>38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321.7</v>
      </c>
      <c r="E40" s="0" t="n">
        <v>330.9</v>
      </c>
      <c r="F40" s="0" t="n">
        <v>329.9</v>
      </c>
      <c r="G40" s="0" t="n">
        <v>344.6</v>
      </c>
      <c r="H40" s="0" t="n">
        <v>332.4</v>
      </c>
      <c r="I40" s="0" t="n">
        <v>330.6</v>
      </c>
      <c r="J40" s="0" t="n">
        <v>348.8</v>
      </c>
      <c r="K40" s="0" t="n">
        <v>334.6</v>
      </c>
      <c r="L40" s="0" t="n">
        <v>337.4</v>
      </c>
      <c r="M40" s="0" t="n">
        <v>325.5</v>
      </c>
      <c r="N40" s="0" t="n">
        <v>333.6</v>
      </c>
      <c r="O40" s="0" t="n">
        <v>341.6</v>
      </c>
      <c r="P40" s="0" t="n">
        <v>330.6</v>
      </c>
      <c r="Q40" s="0" t="n">
        <v>329.7</v>
      </c>
      <c r="R40" s="0" t="n">
        <v>329.4</v>
      </c>
      <c r="S40" s="0" t="n">
        <v>332.2</v>
      </c>
      <c r="T40" s="0" t="n">
        <v>327.5</v>
      </c>
      <c r="U40" s="0" t="n">
        <v>326.8</v>
      </c>
      <c r="V40" s="0" t="n">
        <v>335</v>
      </c>
      <c r="W40" s="0" t="n">
        <v>335.2</v>
      </c>
      <c r="X40" s="6" t="n">
        <f aca="false">AVERAGE(D40:W40)</f>
        <v>332.9</v>
      </c>
      <c r="Y40" s="7" t="n">
        <f aca="false">_xlfn.STDEV.S(D40:W40)</f>
        <v>6.45673862597911</v>
      </c>
      <c r="Z40" s="7" t="n">
        <f aca="false">Y40/X40</f>
        <v>0.0193954299368552</v>
      </c>
    </row>
    <row r="41" customFormat="false" ht="16.75" hidden="false" customHeight="false" outlineLevel="0" collapsed="false">
      <c r="B41" s="4"/>
      <c r="C41" s="5" t="n">
        <v>25</v>
      </c>
      <c r="D41" s="0" t="n">
        <v>322.8</v>
      </c>
      <c r="E41" s="0" t="n">
        <v>336.6</v>
      </c>
      <c r="F41" s="0" t="n">
        <v>334.3</v>
      </c>
      <c r="G41" s="0" t="n">
        <v>328.8</v>
      </c>
      <c r="H41" s="0" t="n">
        <v>320.7</v>
      </c>
      <c r="I41" s="0" t="n">
        <v>331.4</v>
      </c>
      <c r="J41" s="0" t="n">
        <v>335</v>
      </c>
      <c r="K41" s="0" t="n">
        <v>340.4</v>
      </c>
      <c r="L41" s="0" t="n">
        <v>327.7</v>
      </c>
      <c r="M41" s="0" t="n">
        <v>326.4</v>
      </c>
      <c r="N41" s="0" t="n">
        <v>327.3</v>
      </c>
      <c r="O41" s="0" t="n">
        <v>329.6</v>
      </c>
      <c r="P41" s="0" t="n">
        <v>319.8</v>
      </c>
      <c r="Q41" s="0" t="n">
        <v>325.2</v>
      </c>
      <c r="R41" s="0" t="n">
        <v>323.9</v>
      </c>
      <c r="S41" s="0" t="n">
        <v>317.1</v>
      </c>
      <c r="T41" s="0" t="n">
        <v>333.3</v>
      </c>
      <c r="U41" s="0" t="n">
        <v>335.6</v>
      </c>
      <c r="V41" s="0" t="n">
        <v>336.3</v>
      </c>
      <c r="W41" s="0" t="n">
        <v>329.5</v>
      </c>
      <c r="X41" s="6" t="n">
        <f aca="false">AVERAGE(D41:W41)</f>
        <v>329.085</v>
      </c>
      <c r="Y41" s="7" t="n">
        <f aca="false">_xlfn.STDEV.S(D41:W41)</f>
        <v>6.31949989693555</v>
      </c>
      <c r="Z41" s="7" t="n">
        <f aca="false">Y41/X41</f>
        <v>0.0192032450489556</v>
      </c>
    </row>
    <row r="42" customFormat="false" ht="16.75" hidden="false" customHeight="false" outlineLevel="0" collapsed="false">
      <c r="B42" s="4"/>
      <c r="C42" s="5" t="n">
        <v>38</v>
      </c>
      <c r="D42" s="0" t="n">
        <v>326.2</v>
      </c>
      <c r="E42" s="0" t="n">
        <v>322.8</v>
      </c>
      <c r="F42" s="0" t="n">
        <v>326.3</v>
      </c>
      <c r="G42" s="0" t="n">
        <v>323.8</v>
      </c>
      <c r="H42" s="0" t="n">
        <v>331.9</v>
      </c>
      <c r="I42" s="0" t="n">
        <v>325</v>
      </c>
      <c r="J42" s="0" t="n">
        <v>329.4</v>
      </c>
      <c r="K42" s="0" t="n">
        <v>325.2</v>
      </c>
      <c r="L42" s="0" t="n">
        <v>329.4</v>
      </c>
      <c r="M42" s="0" t="n">
        <v>326.2</v>
      </c>
      <c r="N42" s="0" t="n">
        <v>324.3</v>
      </c>
      <c r="O42" s="0" t="n">
        <v>337.9</v>
      </c>
      <c r="P42" s="0" t="n">
        <v>324.9</v>
      </c>
      <c r="Q42" s="0" t="n">
        <v>330.7</v>
      </c>
      <c r="R42" s="0" t="n">
        <v>336.8</v>
      </c>
      <c r="S42" s="0" t="n">
        <v>329.3</v>
      </c>
      <c r="T42" s="0" t="n">
        <v>316.8</v>
      </c>
      <c r="U42" s="0" t="n">
        <v>328.1</v>
      </c>
      <c r="V42" s="0" t="n">
        <v>331.3</v>
      </c>
      <c r="W42" s="0" t="n">
        <v>330.9</v>
      </c>
      <c r="X42" s="6" t="n">
        <f aca="false">AVERAGE(D42:W42)</f>
        <v>327.86</v>
      </c>
      <c r="Y42" s="7" t="n">
        <f aca="false">_xlfn.STDEV.S(D42:W42)</f>
        <v>4.82377882010184</v>
      </c>
      <c r="Z42" s="7" t="n">
        <f aca="false">Y42/X42</f>
        <v>0.0147129226502222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281.1</v>
      </c>
      <c r="E43" s="0" t="n">
        <v>295.3</v>
      </c>
      <c r="F43" s="0" t="n">
        <v>287.2</v>
      </c>
      <c r="G43" s="0" t="n">
        <v>300.8</v>
      </c>
      <c r="H43" s="0" t="n">
        <v>285.7</v>
      </c>
      <c r="I43" s="0" t="n">
        <v>303.4</v>
      </c>
      <c r="J43" s="0" t="n">
        <v>299.6</v>
      </c>
      <c r="K43" s="0" t="n">
        <v>300.4</v>
      </c>
      <c r="L43" s="0" t="n">
        <v>302.4</v>
      </c>
      <c r="M43" s="0" t="n">
        <v>296</v>
      </c>
      <c r="N43" s="0" t="n">
        <v>297.1</v>
      </c>
      <c r="O43" s="0" t="n">
        <v>284.6</v>
      </c>
      <c r="P43" s="0" t="n">
        <v>302.6</v>
      </c>
      <c r="Q43" s="0" t="n">
        <v>292.4</v>
      </c>
      <c r="R43" s="0" t="n">
        <v>285</v>
      </c>
      <c r="S43" s="0" t="n">
        <v>289.1</v>
      </c>
      <c r="T43" s="0" t="n">
        <v>293</v>
      </c>
      <c r="U43" s="0" t="n">
        <v>283.2</v>
      </c>
      <c r="V43" s="0" t="n">
        <v>287.9</v>
      </c>
      <c r="W43" s="0" t="n">
        <v>289.2</v>
      </c>
      <c r="X43" s="6" t="n">
        <f aca="false">AVERAGE(D43:W43)</f>
        <v>292.8</v>
      </c>
      <c r="Y43" s="7" t="n">
        <f aca="false">_xlfn.STDEV.S(D43:W43)</f>
        <v>7.23041820148884</v>
      </c>
      <c r="Z43" s="7" t="n">
        <f aca="false">Y43/X43</f>
        <v>0.024694051234593</v>
      </c>
    </row>
    <row r="44" customFormat="false" ht="16.75" hidden="false" customHeight="false" outlineLevel="0" collapsed="false">
      <c r="B44" s="4"/>
      <c r="C44" s="5" t="n">
        <v>63</v>
      </c>
      <c r="D44" s="0" t="n">
        <v>298.7</v>
      </c>
      <c r="E44" s="0" t="n">
        <v>291.9</v>
      </c>
      <c r="F44" s="0" t="n">
        <v>295.2</v>
      </c>
      <c r="G44" s="0" t="n">
        <v>298.2</v>
      </c>
      <c r="H44" s="0" t="n">
        <v>296.2</v>
      </c>
      <c r="I44" s="0" t="n">
        <v>292.2</v>
      </c>
      <c r="J44" s="0" t="n">
        <v>303.7</v>
      </c>
      <c r="K44" s="0" t="n">
        <v>293.5</v>
      </c>
      <c r="L44" s="0" t="n">
        <v>308.9</v>
      </c>
      <c r="M44" s="0" t="n">
        <v>289.8</v>
      </c>
      <c r="N44" s="0" t="n">
        <v>298.7</v>
      </c>
      <c r="O44" s="0" t="n">
        <v>289.3</v>
      </c>
      <c r="P44" s="0" t="n">
        <v>310.7</v>
      </c>
      <c r="Q44" s="0" t="n">
        <v>298.2</v>
      </c>
      <c r="R44" s="0" t="n">
        <v>284.1</v>
      </c>
      <c r="S44" s="0" t="n">
        <v>296.3</v>
      </c>
      <c r="T44" s="0" t="n">
        <v>296.6</v>
      </c>
      <c r="U44" s="0" t="n">
        <v>319.4</v>
      </c>
      <c r="V44" s="0" t="n">
        <v>315.3</v>
      </c>
      <c r="W44" s="0" t="n">
        <v>304.5</v>
      </c>
      <c r="X44" s="6" t="n">
        <f aca="false">AVERAGE(D44:W44)</f>
        <v>299.07</v>
      </c>
      <c r="Y44" s="7" t="n">
        <f aca="false">_xlfn.STDEV.S(D44:W44)</f>
        <v>8.98367525307051</v>
      </c>
      <c r="Z44" s="7" t="n">
        <f aca="false">Y44/X44</f>
        <v>0.0300387041597971</v>
      </c>
    </row>
    <row r="45" customFormat="false" ht="16.75" hidden="false" customHeight="false" outlineLevel="0" collapsed="false">
      <c r="B45" s="4"/>
      <c r="C45" s="5" t="n">
        <v>93</v>
      </c>
      <c r="D45" s="0" t="n">
        <v>305.1</v>
      </c>
      <c r="E45" s="0" t="n">
        <v>285.6</v>
      </c>
      <c r="F45" s="0" t="n">
        <v>295.1</v>
      </c>
      <c r="G45" s="0" t="n">
        <v>309.7</v>
      </c>
      <c r="H45" s="0" t="n">
        <v>261.1</v>
      </c>
      <c r="I45" s="0" t="n">
        <v>293.6</v>
      </c>
      <c r="J45" s="0" t="n">
        <v>284.4</v>
      </c>
      <c r="K45" s="0" t="n">
        <v>289.1</v>
      </c>
      <c r="L45" s="0" t="n">
        <v>298.1</v>
      </c>
      <c r="M45" s="0" t="n">
        <v>309.9</v>
      </c>
      <c r="N45" s="0" t="n">
        <v>288.7</v>
      </c>
      <c r="O45" s="0" t="n">
        <v>307.3</v>
      </c>
      <c r="P45" s="0" t="n">
        <v>326.5</v>
      </c>
      <c r="Q45" s="0" t="n">
        <v>279.5</v>
      </c>
      <c r="R45" s="0" t="n">
        <v>297.8</v>
      </c>
      <c r="S45" s="0" t="n">
        <v>310.5</v>
      </c>
      <c r="T45" s="0" t="n">
        <v>268.3</v>
      </c>
      <c r="U45" s="0" t="n">
        <v>310.5</v>
      </c>
      <c r="V45" s="0" t="n">
        <v>283.6</v>
      </c>
      <c r="W45" s="0" t="n">
        <v>309.6</v>
      </c>
      <c r="X45" s="6" t="n">
        <f aca="false">AVERAGE(D45:W45)</f>
        <v>295.7</v>
      </c>
      <c r="Y45" s="7" t="n">
        <f aca="false">_xlfn.STDEV.S(D45:W45)</f>
        <v>16.0500204951501</v>
      </c>
      <c r="Z45" s="7" t="n">
        <f aca="false">Y45/X45</f>
        <v>0.054278053754312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286.3</v>
      </c>
      <c r="E46" s="0" t="n">
        <v>301.5</v>
      </c>
      <c r="F46" s="0" t="n">
        <v>293.4</v>
      </c>
      <c r="G46" s="0" t="n">
        <v>281.6</v>
      </c>
      <c r="H46" s="0" t="n">
        <v>270.8</v>
      </c>
      <c r="I46" s="0" t="n">
        <v>280.6</v>
      </c>
      <c r="J46" s="0" t="n">
        <v>268.2</v>
      </c>
      <c r="K46" s="0" t="n">
        <v>293</v>
      </c>
      <c r="L46" s="0" t="n">
        <v>285.4</v>
      </c>
      <c r="M46" s="0" t="n">
        <v>272.8</v>
      </c>
      <c r="N46" s="0" t="n">
        <v>270</v>
      </c>
      <c r="O46" s="0" t="n">
        <v>262.5</v>
      </c>
      <c r="P46" s="0" t="n">
        <v>275.4</v>
      </c>
      <c r="Q46" s="0" t="n">
        <v>265.6</v>
      </c>
      <c r="R46" s="0" t="n">
        <v>257.9</v>
      </c>
      <c r="S46" s="0" t="n">
        <v>283.2</v>
      </c>
      <c r="T46" s="0" t="n">
        <v>272.7</v>
      </c>
      <c r="U46" s="0" t="n">
        <v>281.3</v>
      </c>
      <c r="V46" s="0" t="n">
        <v>279.7</v>
      </c>
      <c r="W46" s="0" t="n">
        <v>277.1</v>
      </c>
      <c r="X46" s="6" t="n">
        <f aca="false">AVERAGE(D46:W46)</f>
        <v>277.95</v>
      </c>
      <c r="Y46" s="7" t="n">
        <f aca="false">_xlfn.STDEV.S(D46:W46)</f>
        <v>10.9331701956164</v>
      </c>
      <c r="Z46" s="7" t="n">
        <f aca="false">Y46/X46</f>
        <v>0.0393350249887262</v>
      </c>
    </row>
    <row r="47" customFormat="false" ht="16.75" hidden="false" customHeight="false" outlineLevel="0" collapsed="false">
      <c r="B47" s="4"/>
      <c r="C47" s="5" t="n">
        <v>38</v>
      </c>
      <c r="D47" s="0" t="n">
        <v>291.4</v>
      </c>
      <c r="E47" s="0" t="n">
        <v>281.1</v>
      </c>
      <c r="F47" s="0" t="n">
        <v>283.4</v>
      </c>
      <c r="G47" s="0" t="n">
        <v>279</v>
      </c>
      <c r="H47" s="0" t="n">
        <v>303.1</v>
      </c>
      <c r="I47" s="0" t="n">
        <v>293.5</v>
      </c>
      <c r="J47" s="0" t="n">
        <v>295</v>
      </c>
      <c r="K47" s="0" t="n">
        <v>302.2</v>
      </c>
      <c r="L47" s="0" t="n">
        <v>303.8</v>
      </c>
      <c r="M47" s="0" t="n">
        <v>285.4</v>
      </c>
      <c r="N47" s="0" t="n">
        <v>292.7</v>
      </c>
      <c r="O47" s="0" t="n">
        <v>296.3</v>
      </c>
      <c r="P47" s="0" t="n">
        <v>289.5</v>
      </c>
      <c r="Q47" s="0" t="n">
        <v>281.1</v>
      </c>
      <c r="R47" s="0" t="n">
        <v>295.2</v>
      </c>
      <c r="S47" s="0" t="n">
        <v>271.4</v>
      </c>
      <c r="T47" s="0" t="n">
        <v>286.2</v>
      </c>
      <c r="U47" s="0" t="n">
        <v>268.9</v>
      </c>
      <c r="V47" s="0" t="n">
        <v>270.2</v>
      </c>
      <c r="W47" s="0" t="n">
        <v>294.2</v>
      </c>
      <c r="X47" s="6" t="n">
        <f aca="false">AVERAGE(D47:W47)</f>
        <v>288.18</v>
      </c>
      <c r="Y47" s="7" t="n">
        <f aca="false">_xlfn.STDEV.S(D47:W47)</f>
        <v>10.5569931923421</v>
      </c>
      <c r="Z47" s="7" t="n">
        <f aca="false">Y47/X47</f>
        <v>0.0366333305307174</v>
      </c>
    </row>
    <row r="48" customFormat="false" ht="16.75" hidden="false" customHeight="false" outlineLevel="0" collapsed="false">
      <c r="B48" s="4"/>
      <c r="C48" s="5" t="n">
        <v>50</v>
      </c>
      <c r="D48" s="0" t="n">
        <v>287.4</v>
      </c>
      <c r="E48" s="0" t="n">
        <v>293.2</v>
      </c>
      <c r="F48" s="0" t="n">
        <v>312.3</v>
      </c>
      <c r="G48" s="0" t="n">
        <v>303.5</v>
      </c>
      <c r="H48" s="0" t="n">
        <v>292.5</v>
      </c>
      <c r="I48" s="0" t="n">
        <v>292.6</v>
      </c>
      <c r="J48" s="0" t="n">
        <v>313.9</v>
      </c>
      <c r="K48" s="0" t="n">
        <v>304.9</v>
      </c>
      <c r="L48" s="0" t="n">
        <v>292.1</v>
      </c>
      <c r="M48" s="0" t="n">
        <v>282.9</v>
      </c>
      <c r="N48" s="0" t="n">
        <v>293.4</v>
      </c>
      <c r="O48" s="0" t="n">
        <v>298.7</v>
      </c>
      <c r="P48" s="0" t="n">
        <v>302.1</v>
      </c>
      <c r="Q48" s="0" t="n">
        <v>286.4</v>
      </c>
      <c r="R48" s="0" t="n">
        <v>273.7</v>
      </c>
      <c r="S48" s="0" t="n">
        <v>302.2</v>
      </c>
      <c r="T48" s="0" t="n">
        <v>312.7</v>
      </c>
      <c r="U48" s="0" t="n">
        <v>302.3</v>
      </c>
      <c r="V48" s="0" t="n">
        <v>298.3</v>
      </c>
      <c r="W48" s="0" t="n">
        <v>287.7</v>
      </c>
      <c r="X48" s="6" t="n">
        <f aca="false">AVERAGE(D48:W48)</f>
        <v>296.64</v>
      </c>
      <c r="Y48" s="7" t="n">
        <f aca="false">_xlfn.STDEV.S(D48:W48)</f>
        <v>10.4572009941274</v>
      </c>
      <c r="Z48" s="7" t="n">
        <f aca="false">Y48/X48</f>
        <v>0.0352521608485956</v>
      </c>
    </row>
    <row r="49" customFormat="false" ht="16.75" hidden="false" customHeight="false" outlineLevel="0" collapsed="false">
      <c r="B49" s="4"/>
      <c r="C49" s="5" t="n">
        <v>75</v>
      </c>
      <c r="D49" s="0" t="n">
        <v>310.4</v>
      </c>
      <c r="E49" s="0" t="n">
        <v>267.9</v>
      </c>
      <c r="F49" s="0" t="n">
        <v>279.6</v>
      </c>
      <c r="G49" s="0" t="n">
        <v>286</v>
      </c>
      <c r="H49" s="0" t="n">
        <v>274</v>
      </c>
      <c r="I49" s="0" t="n">
        <v>288.7</v>
      </c>
      <c r="J49" s="0" t="n">
        <v>280.7</v>
      </c>
      <c r="K49" s="0" t="n">
        <v>284.9</v>
      </c>
      <c r="L49" s="0" t="n">
        <v>281.4</v>
      </c>
      <c r="M49" s="0" t="n">
        <v>313.5</v>
      </c>
      <c r="N49" s="0" t="n">
        <v>290.6</v>
      </c>
      <c r="O49" s="0" t="n">
        <v>297</v>
      </c>
      <c r="P49" s="0" t="n">
        <v>295</v>
      </c>
      <c r="Q49" s="0" t="n">
        <v>305.3</v>
      </c>
      <c r="R49" s="0" t="n">
        <v>278.4</v>
      </c>
      <c r="S49" s="0" t="n">
        <v>275</v>
      </c>
      <c r="T49" s="0" t="n">
        <v>287.5</v>
      </c>
      <c r="U49" s="0" t="n">
        <v>279.4</v>
      </c>
      <c r="V49" s="0" t="n">
        <v>269.1</v>
      </c>
      <c r="W49" s="0" t="n">
        <v>285</v>
      </c>
      <c r="X49" s="6" t="n">
        <f aca="false">AVERAGE(D49:W49)</f>
        <v>286.47</v>
      </c>
      <c r="Y49" s="7" t="n">
        <f aca="false">_xlfn.STDEV.S(D49:W49)</f>
        <v>12.6164929650376</v>
      </c>
      <c r="Z49" s="7" t="n">
        <f aca="false">Y49/X49</f>
        <v>0.0440412363075979</v>
      </c>
    </row>
    <row r="50" customFormat="false" ht="16.75" hidden="false" customHeight="false" outlineLevel="0" collapsed="false">
      <c r="B50" s="4"/>
      <c r="C50" s="5" t="n">
        <v>100</v>
      </c>
      <c r="D50" s="0" t="n">
        <v>267.3</v>
      </c>
      <c r="E50" s="0" t="n">
        <v>278.5</v>
      </c>
      <c r="F50" s="0" t="n">
        <v>257.2</v>
      </c>
      <c r="G50" s="0" t="n">
        <v>301.1</v>
      </c>
      <c r="H50" s="0" t="n">
        <v>287.9</v>
      </c>
      <c r="I50" s="0" t="n">
        <v>273.9</v>
      </c>
      <c r="J50" s="0" t="n">
        <v>321.9</v>
      </c>
      <c r="K50" s="0" t="n">
        <v>300.5</v>
      </c>
      <c r="L50" s="0" t="n">
        <v>292.8</v>
      </c>
      <c r="M50" s="0" t="n">
        <v>297.1</v>
      </c>
      <c r="N50" s="0" t="n">
        <v>298.7</v>
      </c>
      <c r="O50" s="0" t="n">
        <v>290.3</v>
      </c>
      <c r="P50" s="0" t="n">
        <v>276</v>
      </c>
      <c r="Q50" s="0" t="n">
        <v>271.1</v>
      </c>
      <c r="R50" s="0" t="n">
        <v>263.7</v>
      </c>
      <c r="S50" s="0" t="n">
        <v>309.6</v>
      </c>
      <c r="T50" s="0" t="n">
        <v>303.3</v>
      </c>
      <c r="U50" s="0" t="n">
        <v>276.2</v>
      </c>
      <c r="V50" s="0" t="n">
        <v>295.4</v>
      </c>
      <c r="W50" s="0" t="n">
        <v>289.8</v>
      </c>
      <c r="X50" s="6" t="n">
        <f aca="false">AVERAGE(D50:W50)</f>
        <v>287.615</v>
      </c>
      <c r="Y50" s="7" t="n">
        <f aca="false">_xlfn.STDEV.S(D50:W50)</f>
        <v>16.6763707714018</v>
      </c>
      <c r="Z50" s="7" t="n">
        <f aca="false">Y50/X50</f>
        <v>0.0579815752704197</v>
      </c>
    </row>
    <row r="51" customFormat="false" ht="16.75" hidden="false" customHeight="false" outlineLevel="0" collapsed="false">
      <c r="B51" s="4"/>
      <c r="C51" s="5" t="n">
        <v>150</v>
      </c>
      <c r="D51" s="0" t="n">
        <v>321.7</v>
      </c>
      <c r="E51" s="0" t="n">
        <v>293.2</v>
      </c>
      <c r="F51" s="0" t="n">
        <v>293.7</v>
      </c>
      <c r="G51" s="0" t="n">
        <v>302.6</v>
      </c>
      <c r="H51" s="0" t="n">
        <v>284.5</v>
      </c>
      <c r="I51" s="0" t="n">
        <v>306.7</v>
      </c>
      <c r="J51" s="0" t="n">
        <v>334.3</v>
      </c>
      <c r="K51" s="0" t="n">
        <v>333.6</v>
      </c>
      <c r="L51" s="0" t="n">
        <v>320.6</v>
      </c>
      <c r="M51" s="0" t="n">
        <v>319.2</v>
      </c>
      <c r="N51" s="0" t="n">
        <v>312.6</v>
      </c>
      <c r="O51" s="0" t="n">
        <v>270.4</v>
      </c>
      <c r="P51" s="0" t="n">
        <v>322.1</v>
      </c>
      <c r="Q51" s="0" t="n">
        <v>302.8</v>
      </c>
      <c r="R51" s="0" t="n">
        <v>311</v>
      </c>
      <c r="S51" s="0" t="n">
        <v>316.2</v>
      </c>
      <c r="T51" s="0" t="n">
        <v>320.8</v>
      </c>
      <c r="U51" s="0" t="n">
        <v>297.3</v>
      </c>
      <c r="V51" s="0" t="n">
        <v>310.6</v>
      </c>
      <c r="W51" s="0" t="n">
        <v>301.1</v>
      </c>
      <c r="X51" s="6" t="n">
        <f aca="false">AVERAGE(D51:W51)</f>
        <v>308.75</v>
      </c>
      <c r="Y51" s="7" t="n">
        <f aca="false">_xlfn.STDEV.S(D51:W51)</f>
        <v>16.0329102325908</v>
      </c>
      <c r="Z51" s="7" t="n">
        <f aca="false">Y51/X51</f>
        <v>0.0519284541946262</v>
      </c>
    </row>
    <row r="52" customFormat="false" ht="15" hidden="false" customHeight="true" outlineLevel="0" collapsed="false">
      <c r="A52" s="1" t="s">
        <v>38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331.4</v>
      </c>
      <c r="E57" s="0" t="n">
        <v>329</v>
      </c>
      <c r="F57" s="0" t="n">
        <v>326.6</v>
      </c>
      <c r="G57" s="0" t="n">
        <v>317.5</v>
      </c>
      <c r="H57" s="0" t="n">
        <v>316.3</v>
      </c>
      <c r="I57" s="0" t="n">
        <v>324</v>
      </c>
      <c r="J57" s="0" t="n">
        <v>319.2</v>
      </c>
      <c r="K57" s="0" t="n">
        <v>315.7</v>
      </c>
      <c r="L57" s="0" t="n">
        <v>325</v>
      </c>
      <c r="M57" s="0" t="n">
        <v>316.8</v>
      </c>
      <c r="N57" s="0" t="n">
        <v>333.6</v>
      </c>
      <c r="O57" s="0" t="n">
        <v>310.8</v>
      </c>
      <c r="P57" s="0" t="n">
        <v>331.4</v>
      </c>
      <c r="Q57" s="0" t="n">
        <v>319.2</v>
      </c>
      <c r="R57" s="0" t="n">
        <v>318</v>
      </c>
      <c r="S57" s="0" t="n">
        <v>320.8</v>
      </c>
      <c r="T57" s="0" t="n">
        <v>329.3</v>
      </c>
      <c r="U57" s="0" t="n">
        <v>343.1</v>
      </c>
      <c r="V57" s="0" t="n">
        <v>320.3</v>
      </c>
      <c r="W57" s="0" t="n">
        <v>326.6</v>
      </c>
      <c r="X57" s="6" t="n">
        <f aca="false">AVERAGE(D57:W57)</f>
        <v>323.73</v>
      </c>
      <c r="Y57" s="7" t="n">
        <f aca="false">_xlfn.STDEV.S(D57:W57)</f>
        <v>7.72951281912726</v>
      </c>
      <c r="Z57" s="7" t="n">
        <f aca="false">Y57/X57</f>
        <v>0.0238764180617405</v>
      </c>
    </row>
    <row r="58" customFormat="false" ht="16.75" hidden="false" customHeight="false" outlineLevel="0" collapsed="false">
      <c r="B58" s="4"/>
      <c r="C58" s="5" t="n">
        <v>25</v>
      </c>
      <c r="D58" s="0" t="n">
        <v>333.9</v>
      </c>
      <c r="E58" s="0" t="n">
        <v>326.7</v>
      </c>
      <c r="F58" s="0" t="n">
        <v>323.7</v>
      </c>
      <c r="G58" s="0" t="n">
        <v>325.6</v>
      </c>
      <c r="H58" s="0" t="n">
        <v>317.6</v>
      </c>
      <c r="I58" s="0" t="n">
        <v>325.7</v>
      </c>
      <c r="J58" s="0" t="n">
        <v>330</v>
      </c>
      <c r="K58" s="0" t="n">
        <v>335.4</v>
      </c>
      <c r="L58" s="0" t="n">
        <v>328.1</v>
      </c>
      <c r="M58" s="0" t="n">
        <v>334.9</v>
      </c>
      <c r="N58" s="0" t="n">
        <v>329.7</v>
      </c>
      <c r="O58" s="0" t="n">
        <v>330.7</v>
      </c>
      <c r="P58" s="0" t="n">
        <v>324.8</v>
      </c>
      <c r="Q58" s="0" t="n">
        <v>320.6</v>
      </c>
      <c r="R58" s="0" t="n">
        <v>327.7</v>
      </c>
      <c r="S58" s="0" t="n">
        <v>326.7</v>
      </c>
      <c r="T58" s="0" t="n">
        <v>333.9</v>
      </c>
      <c r="U58" s="0" t="n">
        <v>327.9</v>
      </c>
      <c r="V58" s="0" t="n">
        <v>334.6</v>
      </c>
      <c r="W58" s="0" t="n">
        <v>328.4</v>
      </c>
      <c r="X58" s="6" t="n">
        <f aca="false">AVERAGE(D58:W58)</f>
        <v>328.33</v>
      </c>
      <c r="Y58" s="7" t="n">
        <f aca="false">_xlfn.STDEV.S(D58:W58)</f>
        <v>4.77880187582839</v>
      </c>
      <c r="Z58" s="7" t="n">
        <f aca="false">Y58/X58</f>
        <v>0.0145548742905869</v>
      </c>
    </row>
    <row r="59" customFormat="false" ht="16.75" hidden="false" customHeight="false" outlineLevel="0" collapsed="false">
      <c r="B59" s="4"/>
      <c r="C59" s="5" t="n">
        <v>38</v>
      </c>
      <c r="D59" s="0" t="n">
        <v>333.4</v>
      </c>
      <c r="E59" s="0" t="n">
        <v>334.7</v>
      </c>
      <c r="F59" s="0" t="n">
        <v>330.6</v>
      </c>
      <c r="G59" s="0" t="n">
        <v>327.9</v>
      </c>
      <c r="H59" s="0" t="n">
        <v>333.9</v>
      </c>
      <c r="I59" s="0" t="n">
        <v>335</v>
      </c>
      <c r="J59" s="0" t="n">
        <v>329.1</v>
      </c>
      <c r="K59" s="0" t="n">
        <v>350.6</v>
      </c>
      <c r="L59" s="0" t="n">
        <v>328.3</v>
      </c>
      <c r="M59" s="0" t="n">
        <v>337</v>
      </c>
      <c r="N59" s="0" t="n">
        <v>337.9</v>
      </c>
      <c r="O59" s="0" t="n">
        <v>337.1</v>
      </c>
      <c r="P59" s="0" t="n">
        <v>341.2</v>
      </c>
      <c r="Q59" s="0" t="n">
        <v>333.8</v>
      </c>
      <c r="R59" s="0" t="n">
        <v>329.2</v>
      </c>
      <c r="S59" s="0" t="n">
        <v>327.1</v>
      </c>
      <c r="T59" s="0" t="n">
        <v>334</v>
      </c>
      <c r="U59" s="0" t="n">
        <v>329.1</v>
      </c>
      <c r="V59" s="0" t="n">
        <v>332.5</v>
      </c>
      <c r="W59" s="0" t="n">
        <v>328.3</v>
      </c>
      <c r="X59" s="6" t="n">
        <f aca="false">AVERAGE(D59:W59)</f>
        <v>333.535</v>
      </c>
      <c r="Y59" s="7" t="n">
        <f aca="false">_xlfn.STDEV.S(D59:W59)</f>
        <v>5.5888304962478</v>
      </c>
      <c r="Z59" s="7" t="n">
        <f aca="false">Y59/X59</f>
        <v>0.0167563538946372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310.2</v>
      </c>
      <c r="E60" s="0" t="n">
        <v>297.2</v>
      </c>
      <c r="F60" s="0" t="n">
        <v>305.3</v>
      </c>
      <c r="G60" s="0" t="n">
        <v>293.1</v>
      </c>
      <c r="H60" s="0" t="n">
        <v>301</v>
      </c>
      <c r="I60" s="0" t="n">
        <v>284.5</v>
      </c>
      <c r="J60" s="0" t="n">
        <v>306.5</v>
      </c>
      <c r="K60" s="0" t="n">
        <v>300.1</v>
      </c>
      <c r="L60" s="0" t="n">
        <v>293.5</v>
      </c>
      <c r="M60" s="0" t="n">
        <v>301.6</v>
      </c>
      <c r="N60" s="0" t="n">
        <v>305.6</v>
      </c>
      <c r="O60" s="0" t="n">
        <v>285.2</v>
      </c>
      <c r="P60" s="0" t="n">
        <v>300.9</v>
      </c>
      <c r="Q60" s="0" t="n">
        <v>320</v>
      </c>
      <c r="R60" s="0" t="n">
        <v>298.4</v>
      </c>
      <c r="S60" s="0" t="n">
        <v>300.6</v>
      </c>
      <c r="T60" s="0" t="n">
        <v>290.8</v>
      </c>
      <c r="U60" s="0" t="n">
        <v>297.1</v>
      </c>
      <c r="V60" s="0" t="n">
        <v>310.6</v>
      </c>
      <c r="W60" s="0" t="n">
        <v>294.9</v>
      </c>
      <c r="X60" s="6" t="n">
        <f aca="false">AVERAGE(D60:W60)</f>
        <v>299.855</v>
      </c>
      <c r="Y60" s="7" t="n">
        <f aca="false">_xlfn.STDEV.S(D60:W60)</f>
        <v>8.5871063075312</v>
      </c>
      <c r="Z60" s="7" t="n">
        <f aca="false">Y60/X60</f>
        <v>0.0286375291642</v>
      </c>
    </row>
    <row r="61" customFormat="false" ht="16.75" hidden="false" customHeight="false" outlineLevel="0" collapsed="false">
      <c r="B61" s="4"/>
      <c r="C61" s="5" t="n">
        <v>63</v>
      </c>
      <c r="D61" s="0" t="n">
        <v>334.3</v>
      </c>
      <c r="E61" s="0" t="n">
        <v>334</v>
      </c>
      <c r="F61" s="0" t="n">
        <v>321.1</v>
      </c>
      <c r="G61" s="0" t="n">
        <v>321.6</v>
      </c>
      <c r="H61" s="0" t="n">
        <v>314.8</v>
      </c>
      <c r="I61" s="0" t="n">
        <v>318.2</v>
      </c>
      <c r="J61" s="0" t="n">
        <v>316.2</v>
      </c>
      <c r="K61" s="0" t="n">
        <v>315.4</v>
      </c>
      <c r="L61" s="0" t="n">
        <v>324.1</v>
      </c>
      <c r="M61" s="0" t="n">
        <v>322.7</v>
      </c>
      <c r="N61" s="0" t="n">
        <v>332.7</v>
      </c>
      <c r="O61" s="0" t="n">
        <v>307.3</v>
      </c>
      <c r="P61" s="0" t="n">
        <v>319.7</v>
      </c>
      <c r="Q61" s="0" t="n">
        <v>319.9</v>
      </c>
      <c r="R61" s="0" t="n">
        <v>308.2</v>
      </c>
      <c r="S61" s="0" t="n">
        <v>305.5</v>
      </c>
      <c r="T61" s="0" t="n">
        <v>328.4</v>
      </c>
      <c r="U61" s="0" t="n">
        <v>314.3</v>
      </c>
      <c r="V61" s="0" t="n">
        <v>312.3</v>
      </c>
      <c r="W61" s="0" t="n">
        <v>304.6</v>
      </c>
      <c r="X61" s="6" t="n">
        <f aca="false">AVERAGE(D61:W61)</f>
        <v>318.765</v>
      </c>
      <c r="Y61" s="7" t="n">
        <f aca="false">_xlfn.STDEV.S(D61:W61)</f>
        <v>8.98948362195925</v>
      </c>
      <c r="Z61" s="7" t="n">
        <f aca="false">Y61/X61</f>
        <v>0.0282009744544076</v>
      </c>
    </row>
    <row r="62" customFormat="false" ht="16.75" hidden="false" customHeight="false" outlineLevel="0" collapsed="false">
      <c r="B62" s="4"/>
      <c r="C62" s="5" t="n">
        <v>93</v>
      </c>
      <c r="D62" s="0" t="n">
        <v>339.2</v>
      </c>
      <c r="E62" s="0" t="n">
        <v>323.8</v>
      </c>
      <c r="F62" s="0" t="n">
        <v>325.4</v>
      </c>
      <c r="G62" s="0" t="n">
        <v>329.4</v>
      </c>
      <c r="H62" s="0" t="n">
        <v>331.2</v>
      </c>
      <c r="I62" s="0" t="n">
        <v>322.8</v>
      </c>
      <c r="J62" s="0" t="n">
        <v>325</v>
      </c>
      <c r="K62" s="0" t="n">
        <v>335.5</v>
      </c>
      <c r="L62" s="0" t="n">
        <v>336.8</v>
      </c>
      <c r="M62" s="0" t="n">
        <v>328.9</v>
      </c>
      <c r="N62" s="0" t="n">
        <v>314.1</v>
      </c>
      <c r="O62" s="0" t="n">
        <v>351.1</v>
      </c>
      <c r="P62" s="0" t="n">
        <v>320.7</v>
      </c>
      <c r="Q62" s="0" t="n">
        <v>330</v>
      </c>
      <c r="R62" s="0" t="n">
        <v>334.7</v>
      </c>
      <c r="S62" s="0" t="n">
        <v>336</v>
      </c>
      <c r="T62" s="0" t="n">
        <v>334.3</v>
      </c>
      <c r="U62" s="0" t="n">
        <v>328.6</v>
      </c>
      <c r="V62" s="0" t="n">
        <v>340</v>
      </c>
      <c r="W62" s="0" t="n">
        <v>346.7</v>
      </c>
      <c r="X62" s="6" t="n">
        <f aca="false">AVERAGE(D62:W62)</f>
        <v>331.71</v>
      </c>
      <c r="Y62" s="7" t="n">
        <f aca="false">_xlfn.STDEV.S(D62:W62)</f>
        <v>8.83783136057114</v>
      </c>
      <c r="Z62" s="7" t="n">
        <f aca="false">Y62/X62</f>
        <v>0.0266432466931089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298.6</v>
      </c>
      <c r="E63" s="0" t="n">
        <v>296.2</v>
      </c>
      <c r="F63" s="0" t="n">
        <v>293</v>
      </c>
      <c r="G63" s="0" t="n">
        <v>288.6</v>
      </c>
      <c r="H63" s="0" t="n">
        <v>281</v>
      </c>
      <c r="I63" s="0" t="n">
        <v>316.8</v>
      </c>
      <c r="J63" s="0" t="n">
        <v>292.8</v>
      </c>
      <c r="K63" s="0" t="n">
        <v>297</v>
      </c>
      <c r="L63" s="0" t="n">
        <v>281.4</v>
      </c>
      <c r="M63" s="0" t="n">
        <v>290.6</v>
      </c>
      <c r="N63" s="0" t="n">
        <v>288.3</v>
      </c>
      <c r="O63" s="0" t="n">
        <v>316.4</v>
      </c>
      <c r="P63" s="0" t="n">
        <v>291.7</v>
      </c>
      <c r="Q63" s="0" t="n">
        <v>306.4</v>
      </c>
      <c r="R63" s="0" t="n">
        <v>290.6</v>
      </c>
      <c r="S63" s="0" t="n">
        <v>298.2</v>
      </c>
      <c r="T63" s="0" t="n">
        <v>276.4</v>
      </c>
      <c r="U63" s="0" t="n">
        <v>288.8</v>
      </c>
      <c r="V63" s="0" t="n">
        <v>287.2</v>
      </c>
      <c r="W63" s="0" t="n">
        <v>296.4</v>
      </c>
      <c r="X63" s="6" t="n">
        <f aca="false">AVERAGE(D63:W63)</f>
        <v>293.82</v>
      </c>
      <c r="Y63" s="7" t="n">
        <f aca="false">_xlfn.STDEV.S(D63:W63)</f>
        <v>10.3527570698519</v>
      </c>
      <c r="Z63" s="7" t="n">
        <f aca="false">Y63/X63</f>
        <v>0.0352350318897689</v>
      </c>
    </row>
    <row r="64" customFormat="false" ht="16.75" hidden="false" customHeight="false" outlineLevel="0" collapsed="false">
      <c r="B64" s="4"/>
      <c r="C64" s="5" t="n">
        <v>38</v>
      </c>
      <c r="D64" s="0" t="n">
        <v>305.8</v>
      </c>
      <c r="E64" s="0" t="n">
        <v>308.1</v>
      </c>
      <c r="F64" s="0" t="n">
        <v>310.7</v>
      </c>
      <c r="G64" s="0" t="n">
        <v>307.5</v>
      </c>
      <c r="H64" s="0" t="n">
        <v>296.9</v>
      </c>
      <c r="I64" s="0" t="n">
        <v>283.6</v>
      </c>
      <c r="J64" s="0" t="n">
        <v>285.6</v>
      </c>
      <c r="K64" s="0" t="n">
        <v>319.6</v>
      </c>
      <c r="L64" s="0" t="n">
        <v>288</v>
      </c>
      <c r="M64" s="0" t="n">
        <v>317.7</v>
      </c>
      <c r="N64" s="0" t="n">
        <v>294.3</v>
      </c>
      <c r="O64" s="0" t="n">
        <v>300</v>
      </c>
      <c r="P64" s="0" t="n">
        <v>297.4</v>
      </c>
      <c r="Q64" s="0" t="n">
        <v>291.5</v>
      </c>
      <c r="R64" s="0" t="n">
        <v>300.1</v>
      </c>
      <c r="S64" s="0" t="n">
        <v>300.6</v>
      </c>
      <c r="T64" s="0" t="n">
        <v>290.9</v>
      </c>
      <c r="U64" s="0" t="n">
        <v>279.8</v>
      </c>
      <c r="V64" s="0" t="n">
        <v>302.7</v>
      </c>
      <c r="W64" s="0" t="n">
        <v>296</v>
      </c>
      <c r="X64" s="6" t="n">
        <f aca="false">AVERAGE(D64:W64)</f>
        <v>298.84</v>
      </c>
      <c r="Y64" s="7" t="n">
        <f aca="false">_xlfn.STDEV.S(D64:W64)</f>
        <v>10.7519104789506</v>
      </c>
      <c r="Z64" s="7" t="n">
        <f aca="false">Y64/X64</f>
        <v>0.0359788196993396</v>
      </c>
    </row>
    <row r="65" customFormat="false" ht="16.75" hidden="false" customHeight="false" outlineLevel="0" collapsed="false">
      <c r="B65" s="4"/>
      <c r="C65" s="5" t="n">
        <v>50</v>
      </c>
      <c r="D65" s="0" t="n">
        <v>316.3</v>
      </c>
      <c r="E65" s="0" t="n">
        <v>290.3</v>
      </c>
      <c r="F65" s="0" t="n">
        <v>314.5</v>
      </c>
      <c r="G65" s="0" t="n">
        <v>304.4</v>
      </c>
      <c r="H65" s="0" t="n">
        <v>294.8</v>
      </c>
      <c r="I65" s="0" t="n">
        <v>301.5</v>
      </c>
      <c r="J65" s="0" t="n">
        <v>327.4</v>
      </c>
      <c r="K65" s="0" t="n">
        <v>320.4</v>
      </c>
      <c r="L65" s="0" t="n">
        <v>328.5</v>
      </c>
      <c r="M65" s="0" t="n">
        <v>322</v>
      </c>
      <c r="N65" s="0" t="n">
        <v>304.1</v>
      </c>
      <c r="O65" s="0" t="n">
        <v>327.7</v>
      </c>
      <c r="P65" s="0" t="n">
        <v>322.4</v>
      </c>
      <c r="Q65" s="0" t="n">
        <v>300.6</v>
      </c>
      <c r="R65" s="0" t="n">
        <v>294.9</v>
      </c>
      <c r="S65" s="0" t="n">
        <v>320.5</v>
      </c>
      <c r="T65" s="0" t="n">
        <v>313.3</v>
      </c>
      <c r="U65" s="0" t="n">
        <v>321.4</v>
      </c>
      <c r="V65" s="0" t="n">
        <v>305.8</v>
      </c>
      <c r="W65" s="0" t="n">
        <v>299.7</v>
      </c>
      <c r="X65" s="6" t="n">
        <f aca="false">AVERAGE(D65:W65)</f>
        <v>311.525</v>
      </c>
      <c r="Y65" s="7" t="n">
        <f aca="false">_xlfn.STDEV.S(D65:W65)</f>
        <v>12.1966291719431</v>
      </c>
      <c r="Z65" s="7" t="n">
        <f aca="false">Y65/X65</f>
        <v>0.0391513656109242</v>
      </c>
    </row>
    <row r="66" customFormat="false" ht="16.75" hidden="false" customHeight="false" outlineLevel="0" collapsed="false">
      <c r="B66" s="4"/>
      <c r="C66" s="5" t="n">
        <v>75</v>
      </c>
      <c r="D66" s="0" t="n">
        <v>313.9</v>
      </c>
      <c r="E66" s="0" t="n">
        <v>302.8</v>
      </c>
      <c r="F66" s="0" t="n">
        <v>307.5</v>
      </c>
      <c r="G66" s="0" t="n">
        <v>312.1</v>
      </c>
      <c r="H66" s="0" t="n">
        <v>327.7</v>
      </c>
      <c r="I66" s="0" t="n">
        <v>321.2</v>
      </c>
      <c r="J66" s="0" t="n">
        <v>310.9</v>
      </c>
      <c r="K66" s="0" t="n">
        <v>313.7</v>
      </c>
      <c r="L66" s="0" t="n">
        <v>310.6</v>
      </c>
      <c r="M66" s="0" t="n">
        <v>345.2</v>
      </c>
      <c r="N66" s="0" t="n">
        <v>318.5</v>
      </c>
      <c r="O66" s="0" t="n">
        <v>341</v>
      </c>
      <c r="P66" s="0" t="n">
        <v>317.4</v>
      </c>
      <c r="Q66" s="0" t="n">
        <v>308</v>
      </c>
      <c r="R66" s="0" t="n">
        <v>311.6</v>
      </c>
      <c r="S66" s="0" t="n">
        <v>318.8</v>
      </c>
      <c r="T66" s="0" t="n">
        <v>315</v>
      </c>
      <c r="U66" s="0" t="n">
        <v>320.4</v>
      </c>
      <c r="V66" s="0" t="n">
        <v>311.6</v>
      </c>
      <c r="W66" s="0" t="n">
        <v>313</v>
      </c>
      <c r="X66" s="6" t="n">
        <f aca="false">AVERAGE(D66:W66)</f>
        <v>317.045</v>
      </c>
      <c r="Y66" s="7" t="n">
        <f aca="false">_xlfn.STDEV.S(D66:W66)</f>
        <v>10.4991967111273</v>
      </c>
      <c r="Z66" s="7" t="n">
        <f aca="false">Y66/X66</f>
        <v>0.0331157933767363</v>
      </c>
    </row>
    <row r="67" customFormat="false" ht="16.75" hidden="false" customHeight="false" outlineLevel="0" collapsed="false">
      <c r="B67" s="4"/>
      <c r="C67" s="5" t="n">
        <v>100</v>
      </c>
      <c r="D67" s="0" t="n">
        <v>298.4</v>
      </c>
      <c r="E67" s="0" t="n">
        <v>315.8</v>
      </c>
      <c r="F67" s="0" t="n">
        <v>317.8</v>
      </c>
      <c r="G67" s="0" t="n">
        <v>312.3</v>
      </c>
      <c r="H67" s="0" t="n">
        <v>340.3</v>
      </c>
      <c r="I67" s="0" t="n">
        <v>297.5</v>
      </c>
      <c r="J67" s="0" t="n">
        <v>315.8</v>
      </c>
      <c r="K67" s="0" t="n">
        <v>347.5</v>
      </c>
      <c r="L67" s="0" t="n">
        <v>320.5</v>
      </c>
      <c r="M67" s="0" t="n">
        <v>333.3</v>
      </c>
      <c r="N67" s="0" t="n">
        <v>327.5</v>
      </c>
      <c r="O67" s="0" t="n">
        <v>312.9</v>
      </c>
      <c r="P67" s="0" t="n">
        <v>306.2</v>
      </c>
      <c r="Q67" s="0" t="n">
        <v>315.2</v>
      </c>
      <c r="R67" s="0" t="n">
        <v>316.2</v>
      </c>
      <c r="S67" s="0" t="n">
        <v>317.4</v>
      </c>
      <c r="T67" s="0" t="n">
        <v>314.5</v>
      </c>
      <c r="U67" s="0" t="n">
        <v>323.4</v>
      </c>
      <c r="V67" s="0" t="n">
        <v>335.1</v>
      </c>
      <c r="W67" s="0" t="n">
        <v>306.2</v>
      </c>
      <c r="X67" s="6" t="n">
        <f aca="false">AVERAGE(D67:W67)</f>
        <v>318.69</v>
      </c>
      <c r="Y67" s="7" t="n">
        <f aca="false">_xlfn.STDEV.S(D67:W67)</f>
        <v>12.9472167299629</v>
      </c>
      <c r="Z67" s="7" t="n">
        <f aca="false">Y67/X67</f>
        <v>0.0406263664688661</v>
      </c>
    </row>
    <row r="68" customFormat="false" ht="16.75" hidden="false" customHeight="false" outlineLevel="0" collapsed="false">
      <c r="B68" s="4"/>
      <c r="C68" s="5" t="n">
        <v>150</v>
      </c>
      <c r="D68" s="0" t="n">
        <v>305.9</v>
      </c>
      <c r="E68" s="0" t="n">
        <v>319.4</v>
      </c>
      <c r="F68" s="0" t="n">
        <v>317.4</v>
      </c>
      <c r="G68" s="0" t="n">
        <v>291.3</v>
      </c>
      <c r="H68" s="0" t="n">
        <v>323.2</v>
      </c>
      <c r="I68" s="0" t="n">
        <v>315.3</v>
      </c>
      <c r="J68" s="0" t="n">
        <v>328</v>
      </c>
      <c r="K68" s="0" t="n">
        <v>328.8</v>
      </c>
      <c r="L68" s="0" t="n">
        <v>319.2</v>
      </c>
      <c r="M68" s="0" t="n">
        <v>323.7</v>
      </c>
      <c r="N68" s="0" t="n">
        <v>325.6</v>
      </c>
      <c r="O68" s="0" t="n">
        <v>321.6</v>
      </c>
      <c r="P68" s="0" t="n">
        <v>307.2</v>
      </c>
      <c r="Q68" s="0" t="n">
        <v>335.4</v>
      </c>
      <c r="R68" s="0" t="n">
        <v>296.4</v>
      </c>
      <c r="S68" s="0" t="n">
        <v>318.2</v>
      </c>
      <c r="T68" s="0" t="n">
        <v>312.3</v>
      </c>
      <c r="U68" s="0" t="n">
        <v>285.8</v>
      </c>
      <c r="V68" s="0" t="n">
        <v>319.2</v>
      </c>
      <c r="W68" s="0" t="n">
        <v>348.6</v>
      </c>
      <c r="X68" s="6" t="n">
        <f aca="false">AVERAGE(D68:W68)</f>
        <v>317.125</v>
      </c>
      <c r="Y68" s="7" t="n">
        <f aca="false">_xlfn.STDEV.S(D68:W68)</f>
        <v>14.6809176179578</v>
      </c>
      <c r="Z68" s="7" t="n">
        <f aca="false">Y68/X68</f>
        <v>0.0462937883104699</v>
      </c>
    </row>
    <row r="69" customFormat="false" ht="15" hidden="false" customHeight="true" outlineLevel="0" collapsed="false">
      <c r="A69" s="1" t="s">
        <v>38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339.1</v>
      </c>
      <c r="E74" s="0" t="n">
        <v>340.5</v>
      </c>
      <c r="F74" s="0" t="n">
        <v>341</v>
      </c>
      <c r="G74" s="0" t="n">
        <v>342.4</v>
      </c>
      <c r="H74" s="0" t="n">
        <v>341.3</v>
      </c>
      <c r="I74" s="0" t="n">
        <v>341.8</v>
      </c>
      <c r="J74" s="0" t="n">
        <v>343.1</v>
      </c>
      <c r="K74" s="0" t="n">
        <v>342.2</v>
      </c>
      <c r="L74" s="0" t="n">
        <v>339.9</v>
      </c>
      <c r="M74" s="0" t="n">
        <v>337.7</v>
      </c>
      <c r="N74" s="0" t="n">
        <v>342.2</v>
      </c>
      <c r="O74" s="0" t="n">
        <v>338.6</v>
      </c>
      <c r="P74" s="0" t="n">
        <v>344.8</v>
      </c>
      <c r="Q74" s="0" t="n">
        <v>367.8</v>
      </c>
      <c r="R74" s="0" t="n">
        <v>351.7</v>
      </c>
      <c r="S74" s="0" t="n">
        <v>338.7</v>
      </c>
      <c r="T74" s="0" t="n">
        <v>327.1</v>
      </c>
      <c r="U74" s="0" t="n">
        <v>349.6</v>
      </c>
      <c r="V74" s="0" t="n">
        <v>342.8</v>
      </c>
      <c r="W74" s="0" t="n">
        <v>343.1</v>
      </c>
      <c r="X74" s="6" t="n">
        <f aca="false">AVERAGE(D74:W74)</f>
        <v>342.77</v>
      </c>
      <c r="Y74" s="7" t="n">
        <f aca="false">_xlfn.STDEV.S(D74:W74)</f>
        <v>7.59612782243275</v>
      </c>
      <c r="Z74" s="7" t="n">
        <f aca="false">Y74/X74</f>
        <v>0.0221610054043024</v>
      </c>
    </row>
    <row r="75" customFormat="false" ht="16.75" hidden="false" customHeight="false" outlineLevel="0" collapsed="false">
      <c r="B75" s="4"/>
      <c r="C75" s="5" t="n">
        <v>25</v>
      </c>
      <c r="D75" s="0" t="n">
        <v>337.5</v>
      </c>
      <c r="E75" s="0" t="n">
        <v>341.8</v>
      </c>
      <c r="F75" s="0" t="n">
        <v>345.5</v>
      </c>
      <c r="G75" s="0" t="n">
        <v>342.1</v>
      </c>
      <c r="H75" s="0" t="n">
        <v>341.5</v>
      </c>
      <c r="I75" s="0" t="n">
        <v>342.2</v>
      </c>
      <c r="J75" s="0" t="n">
        <v>352.8</v>
      </c>
      <c r="K75" s="0" t="n">
        <v>341.5</v>
      </c>
      <c r="L75" s="0" t="n">
        <v>342.8</v>
      </c>
      <c r="M75" s="0" t="n">
        <v>339.8</v>
      </c>
      <c r="N75" s="0" t="n">
        <v>335.9</v>
      </c>
      <c r="O75" s="0" t="n">
        <v>334.7</v>
      </c>
      <c r="P75" s="0" t="n">
        <v>339.4</v>
      </c>
      <c r="Q75" s="0" t="n">
        <v>340</v>
      </c>
      <c r="R75" s="0" t="n">
        <v>341</v>
      </c>
      <c r="S75" s="0" t="n">
        <v>334.4</v>
      </c>
      <c r="T75" s="0" t="n">
        <v>343.3</v>
      </c>
      <c r="U75" s="0" t="n">
        <v>343.1</v>
      </c>
      <c r="V75" s="0" t="n">
        <v>338.9</v>
      </c>
      <c r="W75" s="0" t="n">
        <v>337.7</v>
      </c>
      <c r="X75" s="6" t="n">
        <f aca="false">AVERAGE(D75:W75)</f>
        <v>340.795</v>
      </c>
      <c r="Y75" s="7" t="n">
        <f aca="false">_xlfn.STDEV.S(D75:W75)</f>
        <v>4.08585171176419</v>
      </c>
      <c r="Z75" s="7" t="n">
        <f aca="false">Y75/X75</f>
        <v>0.0119891773992112</v>
      </c>
    </row>
    <row r="76" customFormat="false" ht="16.75" hidden="false" customHeight="false" outlineLevel="0" collapsed="false">
      <c r="B76" s="4"/>
      <c r="C76" s="5" t="n">
        <v>38</v>
      </c>
      <c r="D76" s="0" t="n">
        <v>337.3</v>
      </c>
      <c r="E76" s="0" t="n">
        <v>338.5</v>
      </c>
      <c r="F76" s="0" t="n">
        <v>340.1</v>
      </c>
      <c r="G76" s="0" t="n">
        <v>338.2</v>
      </c>
      <c r="H76" s="0" t="n">
        <v>338.9</v>
      </c>
      <c r="I76" s="0" t="n">
        <v>337.7</v>
      </c>
      <c r="J76" s="0" t="n">
        <v>337.8</v>
      </c>
      <c r="K76" s="0" t="n">
        <v>340.4</v>
      </c>
      <c r="L76" s="0" t="n">
        <v>336</v>
      </c>
      <c r="M76" s="0" t="n">
        <v>341.8</v>
      </c>
      <c r="N76" s="0" t="n">
        <v>331.8</v>
      </c>
      <c r="O76" s="0" t="n">
        <v>337.2</v>
      </c>
      <c r="P76" s="0" t="n">
        <v>335.5</v>
      </c>
      <c r="Q76" s="0" t="n">
        <v>339.1</v>
      </c>
      <c r="R76" s="0" t="n">
        <v>339.6</v>
      </c>
      <c r="S76" s="0" t="n">
        <v>338.2</v>
      </c>
      <c r="T76" s="0" t="n">
        <v>337</v>
      </c>
      <c r="U76" s="0" t="n">
        <v>340.9</v>
      </c>
      <c r="V76" s="0" t="n">
        <v>338</v>
      </c>
      <c r="W76" s="0" t="n">
        <v>338</v>
      </c>
      <c r="X76" s="6" t="n">
        <f aca="false">AVERAGE(D76:W76)</f>
        <v>338.1</v>
      </c>
      <c r="Y76" s="7" t="n">
        <f aca="false">_xlfn.STDEV.S(D76:W76)</f>
        <v>2.16040931794247</v>
      </c>
      <c r="Z76" s="7" t="n">
        <f aca="false">Y76/X76</f>
        <v>0.00638985305513891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321.5</v>
      </c>
      <c r="E77" s="0" t="n">
        <v>329.7</v>
      </c>
      <c r="F77" s="0" t="n">
        <v>322.2</v>
      </c>
      <c r="G77" s="0" t="n">
        <v>322.1</v>
      </c>
      <c r="H77" s="0" t="n">
        <v>321.5</v>
      </c>
      <c r="I77" s="0" t="n">
        <v>321.8</v>
      </c>
      <c r="J77" s="0" t="n">
        <v>321.5</v>
      </c>
      <c r="K77" s="0" t="n">
        <v>330.7</v>
      </c>
      <c r="L77" s="0" t="n">
        <v>326.8</v>
      </c>
      <c r="M77" s="0" t="n">
        <v>330.7</v>
      </c>
      <c r="N77" s="0" t="n">
        <v>332.3</v>
      </c>
      <c r="O77" s="0" t="n">
        <v>326.6</v>
      </c>
      <c r="P77" s="0" t="n">
        <v>323.3</v>
      </c>
      <c r="Q77" s="0" t="n">
        <v>320.1</v>
      </c>
      <c r="R77" s="0" t="n">
        <v>328.5</v>
      </c>
      <c r="S77" s="0" t="n">
        <v>329.8</v>
      </c>
      <c r="T77" s="0" t="n">
        <v>317.9</v>
      </c>
      <c r="U77" s="0" t="n">
        <v>323</v>
      </c>
      <c r="V77" s="0" t="n">
        <v>324.8</v>
      </c>
      <c r="W77" s="0" t="n">
        <v>323.2</v>
      </c>
      <c r="X77" s="6" t="n">
        <f aca="false">AVERAGE(D77:W77)</f>
        <v>324.9</v>
      </c>
      <c r="Y77" s="7" t="n">
        <f aca="false">_xlfn.STDEV.S(D77:W77)</f>
        <v>4.16173040933696</v>
      </c>
      <c r="Z77" s="7" t="n">
        <f aca="false">Y77/X77</f>
        <v>0.0128092656489288</v>
      </c>
    </row>
    <row r="78" customFormat="false" ht="16.75" hidden="false" customHeight="false" outlineLevel="0" collapsed="false">
      <c r="B78" s="4"/>
      <c r="C78" s="5" t="n">
        <v>63</v>
      </c>
      <c r="D78" s="0" t="n">
        <v>342.8</v>
      </c>
      <c r="E78" s="0" t="n">
        <v>337.5</v>
      </c>
      <c r="F78" s="0" t="n">
        <v>338.6</v>
      </c>
      <c r="G78" s="0" t="n">
        <v>336.6</v>
      </c>
      <c r="H78" s="0" t="n">
        <v>330.2</v>
      </c>
      <c r="I78" s="0" t="n">
        <v>342</v>
      </c>
      <c r="J78" s="0" t="n">
        <v>325.7</v>
      </c>
      <c r="K78" s="0" t="n">
        <v>331</v>
      </c>
      <c r="L78" s="0" t="n">
        <v>354.1</v>
      </c>
      <c r="M78" s="0" t="n">
        <v>337.8</v>
      </c>
      <c r="N78" s="0" t="n">
        <v>336</v>
      </c>
      <c r="O78" s="0" t="n">
        <v>333.5</v>
      </c>
      <c r="P78" s="0" t="n">
        <v>341.9</v>
      </c>
      <c r="Q78" s="0" t="n">
        <v>339.2</v>
      </c>
      <c r="R78" s="0" t="n">
        <v>346.3</v>
      </c>
      <c r="S78" s="0" t="n">
        <v>344.6</v>
      </c>
      <c r="T78" s="0" t="n">
        <v>330.5</v>
      </c>
      <c r="U78" s="0" t="n">
        <v>334.1</v>
      </c>
      <c r="V78" s="0" t="n">
        <v>339</v>
      </c>
      <c r="W78" s="0" t="n">
        <v>338.5</v>
      </c>
      <c r="X78" s="6" t="n">
        <f aca="false">AVERAGE(D78:W78)</f>
        <v>337.995</v>
      </c>
      <c r="Y78" s="7" t="n">
        <f aca="false">_xlfn.STDEV.S(D78:W78)</f>
        <v>6.44020880668355</v>
      </c>
      <c r="Z78" s="7" t="n">
        <f aca="false">Y78/X78</f>
        <v>0.0190541540753075</v>
      </c>
    </row>
    <row r="79" customFormat="false" ht="16.75" hidden="false" customHeight="false" outlineLevel="0" collapsed="false">
      <c r="B79" s="4"/>
      <c r="C79" s="5" t="n">
        <v>93</v>
      </c>
      <c r="D79" s="0" t="n">
        <v>339</v>
      </c>
      <c r="E79" s="0" t="n">
        <v>339.8</v>
      </c>
      <c r="F79" s="0" t="n">
        <v>335.4</v>
      </c>
      <c r="G79" s="0" t="n">
        <v>341.5</v>
      </c>
      <c r="H79" s="0" t="n">
        <v>337.8</v>
      </c>
      <c r="I79" s="0" t="n">
        <v>341.8</v>
      </c>
      <c r="J79" s="0" t="n">
        <v>337.6</v>
      </c>
      <c r="K79" s="0" t="n">
        <v>354.9</v>
      </c>
      <c r="L79" s="0" t="n">
        <v>343.9</v>
      </c>
      <c r="M79" s="0" t="n">
        <v>338.5</v>
      </c>
      <c r="N79" s="0" t="n">
        <v>349.8</v>
      </c>
      <c r="O79" s="0" t="n">
        <v>340.9</v>
      </c>
      <c r="P79" s="0" t="n">
        <v>343</v>
      </c>
      <c r="Q79" s="0" t="n">
        <v>337.7</v>
      </c>
      <c r="R79" s="0" t="n">
        <v>346.7</v>
      </c>
      <c r="S79" s="0" t="n">
        <v>344</v>
      </c>
      <c r="T79" s="0" t="n">
        <v>335</v>
      </c>
      <c r="U79" s="0" t="n">
        <v>334.4</v>
      </c>
      <c r="V79" s="0" t="n">
        <v>341</v>
      </c>
      <c r="W79" s="0" t="n">
        <v>329.8</v>
      </c>
      <c r="X79" s="6" t="n">
        <f aca="false">AVERAGE(D79:W79)</f>
        <v>340.625</v>
      </c>
      <c r="Y79" s="7" t="n">
        <f aca="false">_xlfn.STDEV.S(D79:W79)</f>
        <v>5.6353092662529</v>
      </c>
      <c r="Z79" s="7" t="n">
        <f aca="false">Y79/X79</f>
        <v>0.0165440272036782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265.8</v>
      </c>
      <c r="E80" s="0" t="n">
        <v>298.5</v>
      </c>
      <c r="F80" s="0" t="n">
        <v>287.3</v>
      </c>
      <c r="G80" s="0" t="n">
        <v>289.3</v>
      </c>
      <c r="H80" s="0" t="n">
        <v>275.8</v>
      </c>
      <c r="I80" s="0" t="n">
        <v>267.9</v>
      </c>
      <c r="J80" s="0" t="n">
        <v>281.9</v>
      </c>
      <c r="K80" s="0" t="n">
        <v>273.5</v>
      </c>
      <c r="L80" s="0" t="n">
        <v>274</v>
      </c>
      <c r="M80" s="0" t="n">
        <v>266.2</v>
      </c>
      <c r="N80" s="0" t="n">
        <v>273.2</v>
      </c>
      <c r="O80" s="0" t="n">
        <v>284.2</v>
      </c>
      <c r="P80" s="0" t="n">
        <v>310.8</v>
      </c>
      <c r="Q80" s="0" t="n">
        <v>282.9</v>
      </c>
      <c r="R80" s="0" t="n">
        <v>283.7</v>
      </c>
      <c r="S80" s="0" t="n">
        <v>274.6</v>
      </c>
      <c r="T80" s="0" t="n">
        <v>270.3</v>
      </c>
      <c r="U80" s="0" t="n">
        <v>277</v>
      </c>
      <c r="V80" s="0" t="n">
        <v>268.9</v>
      </c>
      <c r="W80" s="0" t="n">
        <v>295.6</v>
      </c>
      <c r="X80" s="6" t="n">
        <f aca="false">AVERAGE(D80:W80)</f>
        <v>280.07</v>
      </c>
      <c r="Y80" s="7" t="n">
        <f aca="false">_xlfn.STDEV.S(D80:W80)</f>
        <v>11.8173868337694</v>
      </c>
      <c r="Z80" s="7" t="n">
        <f aca="false">Y80/X80</f>
        <v>0.0421944043766539</v>
      </c>
    </row>
    <row r="81" customFormat="false" ht="16.75" hidden="false" customHeight="false" outlineLevel="0" collapsed="false">
      <c r="B81" s="4"/>
      <c r="C81" s="5" t="n">
        <v>38</v>
      </c>
      <c r="D81" s="0" t="n">
        <v>303.7</v>
      </c>
      <c r="E81" s="0" t="n">
        <v>300.5</v>
      </c>
      <c r="F81" s="0" t="n">
        <v>289.3</v>
      </c>
      <c r="G81" s="0" t="n">
        <v>289.1</v>
      </c>
      <c r="H81" s="0" t="n">
        <v>287.1</v>
      </c>
      <c r="I81" s="0" t="n">
        <v>269.7</v>
      </c>
      <c r="J81" s="0" t="n">
        <v>279.8</v>
      </c>
      <c r="K81" s="0" t="n">
        <v>285.2</v>
      </c>
      <c r="L81" s="0" t="n">
        <v>293.2</v>
      </c>
      <c r="M81" s="0" t="n">
        <v>294.5</v>
      </c>
      <c r="N81" s="0" t="n">
        <v>284</v>
      </c>
      <c r="O81" s="0" t="n">
        <v>279.1</v>
      </c>
      <c r="P81" s="0" t="n">
        <v>291.8</v>
      </c>
      <c r="Q81" s="0" t="n">
        <v>291.8</v>
      </c>
      <c r="R81" s="0" t="n">
        <v>286.8</v>
      </c>
      <c r="S81" s="0" t="n">
        <v>327.8</v>
      </c>
      <c r="T81" s="0" t="n">
        <v>274.9</v>
      </c>
      <c r="U81" s="0" t="n">
        <v>281</v>
      </c>
      <c r="V81" s="0" t="n">
        <v>272.2</v>
      </c>
      <c r="W81" s="0" t="n">
        <v>284.7</v>
      </c>
      <c r="X81" s="6" t="n">
        <f aca="false">AVERAGE(D81:W81)</f>
        <v>288.31</v>
      </c>
      <c r="Y81" s="7" t="n">
        <f aca="false">_xlfn.STDEV.S(D81:W81)</f>
        <v>12.7206793926475</v>
      </c>
      <c r="Z81" s="7" t="n">
        <f aca="false">Y81/X81</f>
        <v>0.0441215337402362</v>
      </c>
    </row>
    <row r="82" customFormat="false" ht="16.75" hidden="false" customHeight="false" outlineLevel="0" collapsed="false">
      <c r="B82" s="4"/>
      <c r="C82" s="5" t="n">
        <v>50</v>
      </c>
      <c r="D82" s="0" t="n">
        <v>280.4</v>
      </c>
      <c r="E82" s="0" t="n">
        <v>275.6</v>
      </c>
      <c r="F82" s="0" t="n">
        <v>272.1</v>
      </c>
      <c r="G82" s="0" t="n">
        <v>268.3</v>
      </c>
      <c r="H82" s="0" t="n">
        <v>265.9</v>
      </c>
      <c r="I82" s="0" t="n">
        <v>288.1</v>
      </c>
      <c r="J82" s="0" t="n">
        <v>273.9</v>
      </c>
      <c r="K82" s="0" t="n">
        <v>263.9</v>
      </c>
      <c r="L82" s="0" t="n">
        <v>319.4</v>
      </c>
      <c r="M82" s="0" t="n">
        <v>273.3</v>
      </c>
      <c r="N82" s="0" t="n">
        <v>296.2</v>
      </c>
      <c r="O82" s="0" t="n">
        <v>270.6</v>
      </c>
      <c r="P82" s="0" t="n">
        <v>267.1</v>
      </c>
      <c r="Q82" s="0" t="n">
        <v>278.2</v>
      </c>
      <c r="R82" s="0" t="n">
        <v>294</v>
      </c>
      <c r="S82" s="0" t="n">
        <v>272.4</v>
      </c>
      <c r="T82" s="0" t="n">
        <v>289.2</v>
      </c>
      <c r="U82" s="0" t="n">
        <v>272</v>
      </c>
      <c r="V82" s="0" t="n">
        <v>280.7</v>
      </c>
      <c r="W82" s="0" t="n">
        <v>275.8</v>
      </c>
      <c r="X82" s="6" t="n">
        <f aca="false">AVERAGE(D82:W82)</f>
        <v>278.855</v>
      </c>
      <c r="Y82" s="7" t="n">
        <f aca="false">_xlfn.STDEV.S(D82:W82)</f>
        <v>13.1622856357813</v>
      </c>
      <c r="Z82" s="7" t="n">
        <f aca="false">Y82/X82</f>
        <v>0.047201182104611</v>
      </c>
    </row>
    <row r="83" customFormat="false" ht="16.75" hidden="false" customHeight="false" outlineLevel="0" collapsed="false">
      <c r="B83" s="4"/>
      <c r="C83" s="5" t="n">
        <v>75</v>
      </c>
      <c r="D83" s="0" t="n">
        <v>278.9</v>
      </c>
      <c r="E83" s="0" t="n">
        <v>282.4</v>
      </c>
      <c r="F83" s="0" t="n">
        <v>290</v>
      </c>
      <c r="G83" s="0" t="n">
        <v>288.1</v>
      </c>
      <c r="H83" s="0" t="n">
        <v>277.1</v>
      </c>
      <c r="I83" s="0" t="n">
        <v>287.4</v>
      </c>
      <c r="J83" s="0" t="n">
        <v>263.9</v>
      </c>
      <c r="K83" s="0" t="n">
        <v>243.3</v>
      </c>
      <c r="L83" s="0" t="n">
        <v>289.5</v>
      </c>
      <c r="M83" s="0" t="n">
        <v>267.7</v>
      </c>
      <c r="N83" s="0" t="n">
        <v>303.5</v>
      </c>
      <c r="O83" s="0" t="n">
        <v>275.1</v>
      </c>
      <c r="P83" s="0" t="n">
        <v>263</v>
      </c>
      <c r="Q83" s="0" t="n">
        <v>256.7</v>
      </c>
      <c r="R83" s="0" t="n">
        <v>298</v>
      </c>
      <c r="S83" s="0" t="n">
        <v>254.8</v>
      </c>
      <c r="T83" s="0" t="n">
        <v>262.5</v>
      </c>
      <c r="U83" s="0" t="n">
        <v>264.6</v>
      </c>
      <c r="V83" s="0" t="n">
        <v>276.8</v>
      </c>
      <c r="W83" s="0" t="n">
        <v>302.4</v>
      </c>
      <c r="X83" s="6" t="n">
        <f aca="false">AVERAGE(D83:W83)</f>
        <v>276.285</v>
      </c>
      <c r="Y83" s="7" t="n">
        <f aca="false">_xlfn.STDEV.S(D83:W83)</f>
        <v>16.5910018415183</v>
      </c>
      <c r="Z83" s="7" t="n">
        <f aca="false">Y83/X83</f>
        <v>0.0600503170332022</v>
      </c>
    </row>
    <row r="84" customFormat="false" ht="16.75" hidden="false" customHeight="false" outlineLevel="0" collapsed="false">
      <c r="B84" s="4"/>
      <c r="C84" s="5" t="n">
        <v>100</v>
      </c>
      <c r="D84" s="0" t="n">
        <v>266.1</v>
      </c>
      <c r="E84" s="0" t="n">
        <v>224.4</v>
      </c>
      <c r="F84" s="0" t="n">
        <v>234.4</v>
      </c>
      <c r="G84" s="0" t="n">
        <v>248.1</v>
      </c>
      <c r="H84" s="0" t="n">
        <v>251.7</v>
      </c>
      <c r="I84" s="0" t="n">
        <v>242.3</v>
      </c>
      <c r="J84" s="0" t="n">
        <v>259.5</v>
      </c>
      <c r="K84" s="0" t="n">
        <v>241.8</v>
      </c>
      <c r="L84" s="0" t="n">
        <v>250.5</v>
      </c>
      <c r="M84" s="0" t="n">
        <v>231.1</v>
      </c>
      <c r="N84" s="0" t="n">
        <v>229.9</v>
      </c>
      <c r="O84" s="0" t="n">
        <v>246.6</v>
      </c>
      <c r="P84" s="0" t="n">
        <v>254.3</v>
      </c>
      <c r="Q84" s="0" t="n">
        <v>244.8</v>
      </c>
      <c r="R84" s="0" t="n">
        <v>243.6</v>
      </c>
      <c r="S84" s="0" t="n">
        <v>235</v>
      </c>
      <c r="T84" s="0" t="n">
        <v>240.4</v>
      </c>
      <c r="U84" s="0" t="n">
        <v>246.5</v>
      </c>
      <c r="V84" s="0" t="n">
        <v>268.6</v>
      </c>
      <c r="W84" s="0" t="n">
        <v>258.9</v>
      </c>
      <c r="X84" s="6" t="n">
        <f aca="false">AVERAGE(D84:W84)</f>
        <v>245.925</v>
      </c>
      <c r="Y84" s="7" t="n">
        <f aca="false">_xlfn.STDEV.S(D84:W84)</f>
        <v>11.8392689585837</v>
      </c>
      <c r="Z84" s="7" t="n">
        <f aca="false">Y84/X84</f>
        <v>0.0481417869618125</v>
      </c>
    </row>
    <row r="85" customFormat="false" ht="16.75" hidden="false" customHeight="false" outlineLevel="0" collapsed="false">
      <c r="B85" s="4"/>
      <c r="C85" s="5" t="n">
        <v>150</v>
      </c>
      <c r="D85" s="0" t="n">
        <v>257.9</v>
      </c>
      <c r="E85" s="0" t="n">
        <v>248.2</v>
      </c>
      <c r="F85" s="0" t="n">
        <v>264.3</v>
      </c>
      <c r="G85" s="0" t="n">
        <v>277.3</v>
      </c>
      <c r="H85" s="0" t="n">
        <v>276</v>
      </c>
      <c r="I85" s="0" t="n">
        <v>262</v>
      </c>
      <c r="J85" s="0" t="n">
        <v>240.9</v>
      </c>
      <c r="K85" s="0" t="n">
        <v>269</v>
      </c>
      <c r="L85" s="0" t="n">
        <v>265.1</v>
      </c>
      <c r="M85" s="0" t="n">
        <v>279.1</v>
      </c>
      <c r="N85" s="0" t="n">
        <v>276.3</v>
      </c>
      <c r="O85" s="0" t="n">
        <v>289.8</v>
      </c>
      <c r="P85" s="0" t="n">
        <v>291.4</v>
      </c>
      <c r="Q85" s="0" t="n">
        <v>303.9</v>
      </c>
      <c r="R85" s="0" t="n">
        <v>274.1</v>
      </c>
      <c r="S85" s="0" t="n">
        <v>293</v>
      </c>
      <c r="T85" s="0" t="n">
        <v>273.9</v>
      </c>
      <c r="U85" s="0" t="n">
        <v>283.4</v>
      </c>
      <c r="V85" s="0" t="n">
        <v>290.3</v>
      </c>
      <c r="W85" s="0" t="n">
        <v>271.1</v>
      </c>
      <c r="X85" s="6" t="n">
        <f aca="false">AVERAGE(D85:W85)</f>
        <v>274.35</v>
      </c>
      <c r="Y85" s="7" t="n">
        <f aca="false">_xlfn.STDEV.S(D85:W85)</f>
        <v>15.5197497266853</v>
      </c>
      <c r="Z85" s="7" t="n">
        <f aca="false">Y85/X85</f>
        <v>0.0565691624810835</v>
      </c>
    </row>
    <row r="86" customFormat="false" ht="15" hidden="false" customHeight="true" outlineLevel="0" collapsed="false">
      <c r="A86" s="1" t="s">
        <v>38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341.7</v>
      </c>
      <c r="E91" s="0" t="n">
        <v>342.6</v>
      </c>
      <c r="F91" s="0" t="n">
        <v>340.6</v>
      </c>
      <c r="G91" s="0" t="n">
        <v>339.3</v>
      </c>
      <c r="H91" s="0" t="n">
        <v>344.3</v>
      </c>
      <c r="I91" s="0" t="n">
        <v>339.1</v>
      </c>
      <c r="J91" s="0" t="n">
        <v>342.5</v>
      </c>
      <c r="K91" s="0" t="n">
        <v>340.6</v>
      </c>
      <c r="L91" s="0" t="n">
        <v>338.5</v>
      </c>
      <c r="M91" s="0" t="n">
        <v>343.6</v>
      </c>
      <c r="N91" s="0" t="n">
        <v>338</v>
      </c>
      <c r="O91" s="0" t="n">
        <v>335.2</v>
      </c>
      <c r="P91" s="0" t="n">
        <v>340.3</v>
      </c>
      <c r="Q91" s="0" t="n">
        <v>343.2</v>
      </c>
      <c r="R91" s="0" t="n">
        <v>342.1</v>
      </c>
      <c r="S91" s="0" t="n">
        <v>346.9</v>
      </c>
      <c r="T91" s="0" t="n">
        <v>340.3</v>
      </c>
      <c r="U91" s="0" t="n">
        <v>345.55</v>
      </c>
      <c r="V91" s="0" t="n">
        <v>341.6</v>
      </c>
      <c r="W91" s="0" t="n">
        <v>337.5</v>
      </c>
      <c r="X91" s="6" t="n">
        <f aca="false">AVERAGE(D91:W91)</f>
        <v>341.1725</v>
      </c>
      <c r="Y91" s="7" t="n">
        <f aca="false">_xlfn.STDEV.S(D91:W91)</f>
        <v>2.83973103804235</v>
      </c>
      <c r="Z91" s="7" t="n">
        <f aca="false">Y91/X91</f>
        <v>0.00832344646195794</v>
      </c>
    </row>
    <row r="92" customFormat="false" ht="16.75" hidden="false" customHeight="false" outlineLevel="0" collapsed="false">
      <c r="B92" s="4"/>
      <c r="C92" s="5" t="n">
        <v>25</v>
      </c>
      <c r="D92" s="0" t="n">
        <v>341.4</v>
      </c>
      <c r="E92" s="0" t="n">
        <v>342.4</v>
      </c>
      <c r="F92" s="0" t="n">
        <v>346.6</v>
      </c>
      <c r="G92" s="0" t="n">
        <v>346.5</v>
      </c>
      <c r="H92" s="0" t="n">
        <v>353.5</v>
      </c>
      <c r="I92" s="0" t="n">
        <v>342.5</v>
      </c>
      <c r="J92" s="0" t="n">
        <v>342.5</v>
      </c>
      <c r="K92" s="0" t="n">
        <v>342.1</v>
      </c>
      <c r="L92" s="0" t="n">
        <v>343.8</v>
      </c>
      <c r="M92" s="0" t="n">
        <v>339.5</v>
      </c>
      <c r="N92" s="0" t="n">
        <v>347</v>
      </c>
      <c r="O92" s="0" t="n">
        <v>344.2</v>
      </c>
      <c r="P92" s="0" t="n">
        <v>338.2</v>
      </c>
      <c r="Q92" s="0" t="n">
        <v>339.7</v>
      </c>
      <c r="R92" s="0" t="n">
        <v>339.8</v>
      </c>
      <c r="S92" s="0" t="n">
        <v>338.6</v>
      </c>
      <c r="T92" s="0" t="n">
        <v>353</v>
      </c>
      <c r="U92" s="0" t="n">
        <v>344.4</v>
      </c>
      <c r="V92" s="0" t="n">
        <v>347.2</v>
      </c>
      <c r="W92" s="0" t="n">
        <v>341.6</v>
      </c>
      <c r="X92" s="6" t="n">
        <f aca="false">AVERAGE(D92:W92)</f>
        <v>343.725</v>
      </c>
      <c r="Y92" s="7" t="n">
        <f aca="false">_xlfn.STDEV.S(D92:W92)</f>
        <v>4.25872170097035</v>
      </c>
      <c r="Z92" s="7" t="n">
        <f aca="false">Y92/X92</f>
        <v>0.0123899096689806</v>
      </c>
    </row>
    <row r="93" customFormat="false" ht="16.75" hidden="false" customHeight="false" outlineLevel="0" collapsed="false">
      <c r="B93" s="4"/>
      <c r="C93" s="5" t="n">
        <v>38</v>
      </c>
      <c r="D93" s="0" t="n">
        <v>341.6</v>
      </c>
      <c r="E93" s="0" t="n">
        <v>342.2</v>
      </c>
      <c r="F93" s="0" t="n">
        <v>341.7</v>
      </c>
      <c r="G93" s="0" t="n">
        <v>345.3</v>
      </c>
      <c r="H93" s="0" t="n">
        <v>341.4</v>
      </c>
      <c r="I93" s="0" t="n">
        <v>339.9</v>
      </c>
      <c r="J93" s="0" t="n">
        <v>340.3</v>
      </c>
      <c r="K93" s="0" t="n">
        <v>339</v>
      </c>
      <c r="L93" s="0" t="n">
        <v>350</v>
      </c>
      <c r="M93" s="0" t="n">
        <v>347.9</v>
      </c>
      <c r="N93" s="0" t="n">
        <v>341</v>
      </c>
      <c r="O93" s="0" t="n">
        <v>343.6</v>
      </c>
      <c r="P93" s="0" t="n">
        <v>344.9</v>
      </c>
      <c r="Q93" s="0" t="n">
        <v>346.5</v>
      </c>
      <c r="R93" s="0" t="n">
        <v>348.1</v>
      </c>
      <c r="S93" s="0" t="n">
        <v>345.5</v>
      </c>
      <c r="T93" s="0" t="n">
        <v>344.3</v>
      </c>
      <c r="U93" s="0" t="n">
        <v>344.7</v>
      </c>
      <c r="V93" s="0" t="n">
        <v>344.6</v>
      </c>
      <c r="W93" s="0" t="n">
        <v>373.8</v>
      </c>
      <c r="X93" s="6" t="n">
        <f aca="false">AVERAGE(D93:W93)</f>
        <v>345.315</v>
      </c>
      <c r="Y93" s="7" t="n">
        <f aca="false">_xlfn.STDEV.S(D93:W93)</f>
        <v>7.32380940566631</v>
      </c>
      <c r="Z93" s="7" t="n">
        <f aca="false">Y93/X93</f>
        <v>0.021209068258449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312.8</v>
      </c>
      <c r="E94" s="0" t="n">
        <v>307.7</v>
      </c>
      <c r="F94" s="0" t="n">
        <v>312.6</v>
      </c>
      <c r="G94" s="0" t="n">
        <v>308.6</v>
      </c>
      <c r="H94" s="0" t="n">
        <v>305.8</v>
      </c>
      <c r="I94" s="0" t="n">
        <v>306.8</v>
      </c>
      <c r="J94" s="0" t="n">
        <v>316.5</v>
      </c>
      <c r="K94" s="0" t="n">
        <v>327.8</v>
      </c>
      <c r="L94" s="0" t="n">
        <v>309.1</v>
      </c>
      <c r="M94" s="0" t="n">
        <v>320</v>
      </c>
      <c r="N94" s="0" t="n">
        <v>313.9</v>
      </c>
      <c r="O94" s="0" t="n">
        <v>312.7</v>
      </c>
      <c r="P94" s="0" t="n">
        <v>315.8</v>
      </c>
      <c r="Q94" s="0" t="n">
        <v>308.3</v>
      </c>
      <c r="R94" s="0" t="n">
        <v>329.3</v>
      </c>
      <c r="S94" s="0" t="n">
        <v>315.7</v>
      </c>
      <c r="T94" s="0" t="n">
        <v>323.5</v>
      </c>
      <c r="U94" s="0" t="n">
        <v>308.6</v>
      </c>
      <c r="V94" s="0" t="n">
        <v>316.6</v>
      </c>
      <c r="W94" s="0" t="n">
        <v>314.9</v>
      </c>
      <c r="X94" s="6" t="n">
        <f aca="false">AVERAGE(D94:W94)</f>
        <v>314.35</v>
      </c>
      <c r="Y94" s="7" t="n">
        <f aca="false">_xlfn.STDEV.S(D94:W94)</f>
        <v>6.67662852202012</v>
      </c>
      <c r="Z94" s="7" t="n">
        <f aca="false">Y94/X94</f>
        <v>0.0212394735868304</v>
      </c>
    </row>
    <row r="95" customFormat="false" ht="16.75" hidden="false" customHeight="false" outlineLevel="0" collapsed="false">
      <c r="B95" s="4"/>
      <c r="C95" s="5" t="n">
        <v>63</v>
      </c>
      <c r="D95" s="0" t="n">
        <v>323.2</v>
      </c>
      <c r="E95" s="0" t="n">
        <v>327.5</v>
      </c>
      <c r="F95" s="0" t="n">
        <v>325.5</v>
      </c>
      <c r="G95" s="0" t="n">
        <v>329.1</v>
      </c>
      <c r="H95" s="0" t="n">
        <v>316.1</v>
      </c>
      <c r="I95" s="0" t="n">
        <v>307</v>
      </c>
      <c r="J95" s="0" t="n">
        <v>319.6</v>
      </c>
      <c r="K95" s="0" t="n">
        <v>314.2</v>
      </c>
      <c r="L95" s="0" t="n">
        <v>323.9</v>
      </c>
      <c r="M95" s="0" t="n">
        <v>326.6</v>
      </c>
      <c r="N95" s="0" t="n">
        <v>324.5</v>
      </c>
      <c r="O95" s="0" t="n">
        <v>330.5</v>
      </c>
      <c r="P95" s="0" t="n">
        <v>320.7</v>
      </c>
      <c r="Q95" s="0" t="n">
        <v>317</v>
      </c>
      <c r="R95" s="0" t="n">
        <v>320.4</v>
      </c>
      <c r="S95" s="0" t="n">
        <v>310.5</v>
      </c>
      <c r="T95" s="0" t="n">
        <v>316.8</v>
      </c>
      <c r="U95" s="0" t="n">
        <v>325.2</v>
      </c>
      <c r="V95" s="0" t="n">
        <v>314.7</v>
      </c>
      <c r="W95" s="0" t="n">
        <v>316.7</v>
      </c>
      <c r="X95" s="6" t="n">
        <f aca="false">AVERAGE(D95:W95)</f>
        <v>320.485</v>
      </c>
      <c r="Y95" s="7" t="n">
        <f aca="false">_xlfn.STDEV.S(D95:W95)</f>
        <v>6.31741744369444</v>
      </c>
      <c r="Z95" s="7" t="n">
        <f aca="false">Y95/X95</f>
        <v>0.0197120534305644</v>
      </c>
    </row>
    <row r="96" customFormat="false" ht="16.75" hidden="false" customHeight="false" outlineLevel="0" collapsed="false">
      <c r="B96" s="4"/>
      <c r="C96" s="5" t="n">
        <v>93</v>
      </c>
      <c r="D96" s="0" t="n">
        <v>324.9</v>
      </c>
      <c r="E96" s="0" t="n">
        <v>332</v>
      </c>
      <c r="F96" s="0" t="n">
        <v>329.6</v>
      </c>
      <c r="G96" s="0" t="n">
        <v>326.9</v>
      </c>
      <c r="H96" s="0" t="n">
        <v>343.7</v>
      </c>
      <c r="I96" s="0" t="n">
        <v>323.7</v>
      </c>
      <c r="J96" s="0" t="n">
        <v>335.7</v>
      </c>
      <c r="K96" s="0" t="n">
        <v>322.7</v>
      </c>
      <c r="L96" s="0" t="n">
        <v>331.6</v>
      </c>
      <c r="M96" s="0" t="n">
        <v>330.4</v>
      </c>
      <c r="N96" s="0" t="n">
        <v>321.5</v>
      </c>
      <c r="O96" s="0" t="n">
        <v>314.9</v>
      </c>
      <c r="P96" s="0" t="n">
        <v>333.3</v>
      </c>
      <c r="Q96" s="0" t="n">
        <v>328.7</v>
      </c>
      <c r="R96" s="0" t="n">
        <v>326.3</v>
      </c>
      <c r="S96" s="0" t="n">
        <v>314.7</v>
      </c>
      <c r="T96" s="0" t="n">
        <v>337.9</v>
      </c>
      <c r="U96" s="0" t="n">
        <v>324.8</v>
      </c>
      <c r="V96" s="0" t="n">
        <v>329.9</v>
      </c>
      <c r="W96" s="0" t="n">
        <v>325.5</v>
      </c>
      <c r="X96" s="6" t="n">
        <f aca="false">AVERAGE(D96:W96)</f>
        <v>327.935</v>
      </c>
      <c r="Y96" s="7" t="n">
        <f aca="false">_xlfn.STDEV.S(D96:W96)</f>
        <v>7.03639224244028</v>
      </c>
      <c r="Z96" s="7" t="n">
        <f aca="false">Y96/X96</f>
        <v>0.0214566674567834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303.2</v>
      </c>
      <c r="E97" s="0" t="n">
        <v>286.9</v>
      </c>
      <c r="F97" s="0" t="n">
        <v>283.6</v>
      </c>
      <c r="G97" s="0" t="n">
        <v>309.6</v>
      </c>
      <c r="H97" s="0" t="n">
        <v>316.5</v>
      </c>
      <c r="I97" s="0" t="n">
        <v>293.1</v>
      </c>
      <c r="J97" s="0" t="n">
        <v>295.9</v>
      </c>
      <c r="K97" s="0" t="n">
        <v>297.3</v>
      </c>
      <c r="L97" s="0" t="n">
        <v>277</v>
      </c>
      <c r="M97" s="0" t="n">
        <v>284.7</v>
      </c>
      <c r="N97" s="0" t="n">
        <v>297.5</v>
      </c>
      <c r="O97" s="0" t="n">
        <v>279</v>
      </c>
      <c r="P97" s="0" t="n">
        <v>293.8</v>
      </c>
      <c r="Q97" s="0" t="n">
        <v>288.8</v>
      </c>
      <c r="R97" s="0" t="n">
        <v>297.8</v>
      </c>
      <c r="S97" s="0" t="n">
        <v>295.2</v>
      </c>
      <c r="T97" s="0" t="n">
        <v>285.6</v>
      </c>
      <c r="U97" s="0" t="n">
        <v>291.2</v>
      </c>
      <c r="V97" s="0" t="n">
        <v>301.2</v>
      </c>
      <c r="W97" s="0" t="n">
        <v>298.1</v>
      </c>
      <c r="X97" s="6" t="n">
        <f aca="false">AVERAGE(D97:W97)</f>
        <v>293.8</v>
      </c>
      <c r="Y97" s="7" t="n">
        <f aca="false">_xlfn.STDEV.S(D97:W97)</f>
        <v>9.76050041857756</v>
      </c>
      <c r="Z97" s="7" t="n">
        <f aca="false">Y97/X97</f>
        <v>0.0332215807303525</v>
      </c>
    </row>
    <row r="98" customFormat="false" ht="16.75" hidden="false" customHeight="false" outlineLevel="0" collapsed="false">
      <c r="B98" s="4"/>
      <c r="C98" s="5" t="n">
        <v>38</v>
      </c>
      <c r="D98" s="0" t="n">
        <v>298.9</v>
      </c>
      <c r="E98" s="0" t="n">
        <v>292.4</v>
      </c>
      <c r="F98" s="0" t="n">
        <v>301.5</v>
      </c>
      <c r="G98" s="0" t="n">
        <v>281.7</v>
      </c>
      <c r="H98" s="0" t="n">
        <v>290.2</v>
      </c>
      <c r="I98" s="0" t="n">
        <v>283.4</v>
      </c>
      <c r="J98" s="0" t="n">
        <v>282.9</v>
      </c>
      <c r="K98" s="0" t="n">
        <v>302.4</v>
      </c>
      <c r="L98" s="0" t="n">
        <v>290.6</v>
      </c>
      <c r="M98" s="0" t="n">
        <v>305.9</v>
      </c>
      <c r="N98" s="0" t="n">
        <v>286.4</v>
      </c>
      <c r="O98" s="0" t="n">
        <v>305</v>
      </c>
      <c r="P98" s="0" t="n">
        <v>300.8</v>
      </c>
      <c r="Q98" s="0" t="n">
        <v>296.8</v>
      </c>
      <c r="R98" s="0" t="n">
        <v>287.3</v>
      </c>
      <c r="S98" s="0" t="n">
        <v>300.5</v>
      </c>
      <c r="T98" s="0" t="n">
        <v>300.8</v>
      </c>
      <c r="U98" s="0" t="n">
        <v>287.5</v>
      </c>
      <c r="V98" s="0" t="n">
        <v>288.5</v>
      </c>
      <c r="W98" s="0" t="n">
        <v>292.5</v>
      </c>
      <c r="X98" s="6" t="n">
        <f aca="false">AVERAGE(D98:W98)</f>
        <v>293.8</v>
      </c>
      <c r="Y98" s="7" t="n">
        <f aca="false">_xlfn.STDEV.S(D98:W98)</f>
        <v>7.77316571694943</v>
      </c>
      <c r="Z98" s="7" t="n">
        <f aca="false">Y98/X98</f>
        <v>0.026457337361979</v>
      </c>
    </row>
    <row r="99" customFormat="false" ht="16.75" hidden="false" customHeight="false" outlineLevel="0" collapsed="false">
      <c r="B99" s="4"/>
      <c r="C99" s="5" t="n">
        <v>50</v>
      </c>
      <c r="D99" s="0" t="n">
        <v>289</v>
      </c>
      <c r="E99" s="0" t="n">
        <v>288.3</v>
      </c>
      <c r="F99" s="0" t="n">
        <v>292.7</v>
      </c>
      <c r="G99" s="0" t="n">
        <v>296.1</v>
      </c>
      <c r="H99" s="0" t="n">
        <v>299.6</v>
      </c>
      <c r="I99" s="0" t="n">
        <v>297.4</v>
      </c>
      <c r="J99" s="0" t="n">
        <v>286.7</v>
      </c>
      <c r="K99" s="0" t="n">
        <v>289.6</v>
      </c>
      <c r="L99" s="0" t="n">
        <v>285.2</v>
      </c>
      <c r="M99" s="0" t="n">
        <v>291.1</v>
      </c>
      <c r="N99" s="0" t="n">
        <v>294.7</v>
      </c>
      <c r="O99" s="0" t="n">
        <v>289.5</v>
      </c>
      <c r="P99" s="0" t="n">
        <v>302</v>
      </c>
      <c r="Q99" s="0" t="n">
        <v>293</v>
      </c>
      <c r="R99" s="0" t="n">
        <v>284.8</v>
      </c>
      <c r="S99" s="0" t="n">
        <v>295.2</v>
      </c>
      <c r="T99" s="0" t="n">
        <v>298.4</v>
      </c>
      <c r="U99" s="0" t="n">
        <v>301.8</v>
      </c>
      <c r="V99" s="0" t="n">
        <v>291.2</v>
      </c>
      <c r="W99" s="0" t="n">
        <v>306.1</v>
      </c>
      <c r="X99" s="6" t="n">
        <f aca="false">AVERAGE(D99:W99)</f>
        <v>293.62</v>
      </c>
      <c r="Y99" s="7" t="n">
        <f aca="false">_xlfn.STDEV.S(D99:W99)</f>
        <v>5.93114881922461</v>
      </c>
      <c r="Z99" s="7" t="n">
        <f aca="false">Y99/X99</f>
        <v>0.0202000845283857</v>
      </c>
    </row>
    <row r="100" customFormat="false" ht="16.75" hidden="false" customHeight="false" outlineLevel="0" collapsed="false">
      <c r="B100" s="4"/>
      <c r="C100" s="5" t="n">
        <v>75</v>
      </c>
      <c r="D100" s="0" t="n">
        <v>306.1</v>
      </c>
      <c r="E100" s="0" t="n">
        <v>284.2</v>
      </c>
      <c r="F100" s="0" t="n">
        <v>304.1</v>
      </c>
      <c r="G100" s="0" t="n">
        <v>295.7</v>
      </c>
      <c r="H100" s="0" t="n">
        <v>292.6</v>
      </c>
      <c r="I100" s="0" t="n">
        <v>293.6</v>
      </c>
      <c r="J100" s="0" t="n">
        <v>288.9</v>
      </c>
      <c r="K100" s="0" t="n">
        <v>294</v>
      </c>
      <c r="L100" s="0" t="n">
        <v>298.4</v>
      </c>
      <c r="M100" s="0" t="n">
        <v>292.7</v>
      </c>
      <c r="N100" s="0" t="n">
        <v>324.2</v>
      </c>
      <c r="O100" s="0" t="n">
        <v>323.5</v>
      </c>
      <c r="P100" s="0" t="n">
        <v>297.4</v>
      </c>
      <c r="Q100" s="0" t="n">
        <v>317</v>
      </c>
      <c r="R100" s="0" t="n">
        <v>306.3</v>
      </c>
      <c r="S100" s="0" t="n">
        <v>312.3</v>
      </c>
      <c r="T100" s="0" t="n">
        <v>304.5</v>
      </c>
      <c r="U100" s="0" t="n">
        <v>296.7</v>
      </c>
      <c r="V100" s="0" t="n">
        <v>285.4</v>
      </c>
      <c r="W100" s="0" t="n">
        <v>281.4</v>
      </c>
      <c r="X100" s="6" t="n">
        <f aca="false">AVERAGE(D100:W100)</f>
        <v>299.95</v>
      </c>
      <c r="Y100" s="7" t="n">
        <f aca="false">_xlfn.STDEV.S(D100:W100)</f>
        <v>12.2426562305305</v>
      </c>
      <c r="Z100" s="7" t="n">
        <f aca="false">Y100/X100</f>
        <v>0.0408156567112202</v>
      </c>
    </row>
    <row r="101" customFormat="false" ht="16.75" hidden="false" customHeight="false" outlineLevel="0" collapsed="false">
      <c r="B101" s="4"/>
      <c r="C101" s="5" t="n">
        <v>100</v>
      </c>
      <c r="D101" s="0" t="n">
        <v>319.4</v>
      </c>
      <c r="E101" s="0" t="n">
        <v>312.3</v>
      </c>
      <c r="F101" s="0" t="n">
        <v>300.9</v>
      </c>
      <c r="G101" s="0" t="n">
        <v>297.4</v>
      </c>
      <c r="H101" s="0" t="n">
        <v>293.5</v>
      </c>
      <c r="I101" s="0" t="n">
        <v>304.3</v>
      </c>
      <c r="J101" s="0" t="n">
        <v>304.5</v>
      </c>
      <c r="K101" s="0" t="n">
        <v>292.9</v>
      </c>
      <c r="L101" s="0" t="n">
        <v>323.3</v>
      </c>
      <c r="M101" s="0" t="n">
        <v>294.9</v>
      </c>
      <c r="N101" s="0" t="n">
        <v>310.7</v>
      </c>
      <c r="O101" s="0" t="n">
        <v>290</v>
      </c>
      <c r="P101" s="0" t="n">
        <v>298.1</v>
      </c>
      <c r="Q101" s="0" t="n">
        <v>314.8</v>
      </c>
      <c r="R101" s="0" t="n">
        <v>296.4</v>
      </c>
      <c r="S101" s="0" t="n">
        <v>294.7</v>
      </c>
      <c r="T101" s="0" t="n">
        <v>318.4</v>
      </c>
      <c r="U101" s="0" t="n">
        <v>288.2</v>
      </c>
      <c r="V101" s="0" t="n">
        <v>286.7</v>
      </c>
      <c r="W101" s="0" t="n">
        <v>308.4</v>
      </c>
      <c r="X101" s="6" t="n">
        <f aca="false">AVERAGE(D101:W101)</f>
        <v>302.49</v>
      </c>
      <c r="Y101" s="7" t="n">
        <f aca="false">_xlfn.STDEV.S(D101:W101)</f>
        <v>11.0381110130693</v>
      </c>
      <c r="Z101" s="7" t="n">
        <f aca="false">Y101/X101</f>
        <v>0.0364908294921132</v>
      </c>
    </row>
    <row r="102" customFormat="false" ht="16.75" hidden="false" customHeight="false" outlineLevel="0" collapsed="false">
      <c r="B102" s="4"/>
      <c r="C102" s="5" t="n">
        <v>150</v>
      </c>
      <c r="D102" s="0" t="n">
        <v>300</v>
      </c>
      <c r="E102" s="0" t="n">
        <v>326.6</v>
      </c>
      <c r="F102" s="0" t="n">
        <v>304.5</v>
      </c>
      <c r="G102" s="0" t="n">
        <v>311.5</v>
      </c>
      <c r="H102" s="0" t="n">
        <v>309</v>
      </c>
      <c r="I102" s="0" t="n">
        <v>314.1</v>
      </c>
      <c r="J102" s="0" t="n">
        <v>333.1</v>
      </c>
      <c r="K102" s="0" t="n">
        <v>331.8</v>
      </c>
      <c r="L102" s="0" t="n">
        <v>286.6</v>
      </c>
      <c r="M102" s="0" t="n">
        <v>316.6</v>
      </c>
      <c r="N102" s="0" t="n">
        <v>317.6</v>
      </c>
      <c r="O102" s="0" t="n">
        <v>318.5</v>
      </c>
      <c r="P102" s="0" t="n">
        <v>301.9</v>
      </c>
      <c r="Q102" s="0" t="n">
        <v>289.2</v>
      </c>
      <c r="R102" s="0" t="n">
        <v>314.3</v>
      </c>
      <c r="S102" s="0" t="n">
        <v>311.4</v>
      </c>
      <c r="T102" s="0" t="n">
        <v>306</v>
      </c>
      <c r="U102" s="0" t="n">
        <v>286.3</v>
      </c>
      <c r="V102" s="0" t="n">
        <v>315.6</v>
      </c>
      <c r="W102" s="0" t="n">
        <v>323.4</v>
      </c>
      <c r="X102" s="6" t="n">
        <f aca="false">AVERAGE(D102:W102)</f>
        <v>310.9</v>
      </c>
      <c r="Y102" s="7" t="n">
        <f aca="false">_xlfn.STDEV.S(D102:W102)</f>
        <v>13.4691851040967</v>
      </c>
      <c r="Z102" s="7" t="n">
        <f aca="false">Y102/X102</f>
        <v>0.0433232071537367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81" colorId="64" zoomScale="100" zoomScaleNormal="100" zoomScalePageLayoutView="100" workbookViewId="0">
      <selection pane="topLeft" activeCell="Y74" activeCellId="0" sqref="Y74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39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369.8</v>
      </c>
      <c r="E6" s="0" t="n">
        <v>367.4</v>
      </c>
      <c r="F6" s="0" t="n">
        <v>372</v>
      </c>
      <c r="G6" s="0" t="n">
        <v>367</v>
      </c>
      <c r="H6" s="0" t="n">
        <v>369.6</v>
      </c>
      <c r="I6" s="0" t="n">
        <v>370.2</v>
      </c>
      <c r="J6" s="0" t="n">
        <v>369.9</v>
      </c>
      <c r="K6" s="0" t="n">
        <v>367.7</v>
      </c>
      <c r="L6" s="0" t="n">
        <v>366.7</v>
      </c>
      <c r="M6" s="0" t="n">
        <v>366.9</v>
      </c>
      <c r="N6" s="0" t="n">
        <v>368.1</v>
      </c>
      <c r="O6" s="0" t="n">
        <v>368.6</v>
      </c>
      <c r="P6" s="0" t="n">
        <v>368</v>
      </c>
      <c r="Q6" s="0" t="n">
        <v>368.9</v>
      </c>
      <c r="R6" s="0" t="n">
        <v>370.7</v>
      </c>
      <c r="S6" s="0" t="n">
        <v>368.1</v>
      </c>
      <c r="T6" s="0" t="n">
        <v>371.2</v>
      </c>
      <c r="U6" s="0" t="n">
        <v>372.9</v>
      </c>
      <c r="V6" s="0" t="n">
        <v>367.6</v>
      </c>
      <c r="W6" s="0" t="n">
        <v>366.9</v>
      </c>
      <c r="X6" s="6" t="n">
        <f aca="false">AVERAGE(D6:W6)</f>
        <v>368.91</v>
      </c>
      <c r="Y6" s="7" t="n">
        <f aca="false">_xlfn.STDEV.S(D6:W6)</f>
        <v>1.80843054957374</v>
      </c>
      <c r="Z6" s="7" t="n">
        <f aca="false">Y6/X6</f>
        <v>0.004902091430359</v>
      </c>
    </row>
    <row r="7" customFormat="false" ht="16.75" hidden="false" customHeight="false" outlineLevel="0" collapsed="false">
      <c r="B7" s="4"/>
      <c r="C7" s="5" t="n">
        <v>25</v>
      </c>
      <c r="D7" s="0" t="n">
        <v>368.6</v>
      </c>
      <c r="E7" s="0" t="n">
        <v>368.4</v>
      </c>
      <c r="F7" s="0" t="n">
        <v>371.1</v>
      </c>
      <c r="G7" s="0" t="n">
        <v>369.4</v>
      </c>
      <c r="H7" s="0" t="n">
        <v>371</v>
      </c>
      <c r="I7" s="0" t="n">
        <v>370.8</v>
      </c>
      <c r="J7" s="0" t="n">
        <v>368.7</v>
      </c>
      <c r="K7" s="0" t="n">
        <v>375.6</v>
      </c>
      <c r="L7" s="0" t="n">
        <v>370.1</v>
      </c>
      <c r="M7" s="0" t="n">
        <v>371.6</v>
      </c>
      <c r="N7" s="0" t="n">
        <v>369</v>
      </c>
      <c r="O7" s="0" t="n">
        <v>372</v>
      </c>
      <c r="P7" s="0" t="n">
        <v>370</v>
      </c>
      <c r="Q7" s="0" t="n">
        <v>370.2</v>
      </c>
      <c r="R7" s="0" t="n">
        <v>368.6</v>
      </c>
      <c r="S7" s="0" t="n">
        <v>372.5</v>
      </c>
      <c r="T7" s="0" t="n">
        <v>370</v>
      </c>
      <c r="U7" s="0" t="n">
        <v>368.5</v>
      </c>
      <c r="V7" s="0" t="n">
        <v>370.5</v>
      </c>
      <c r="W7" s="0" t="n">
        <v>370.8</v>
      </c>
      <c r="X7" s="6" t="n">
        <f aca="false">AVERAGE(D7:W7)</f>
        <v>370.37</v>
      </c>
      <c r="Y7" s="7" t="n">
        <f aca="false">_xlfn.STDEV.S(D7:W7)</f>
        <v>1.73208119415861</v>
      </c>
      <c r="Z7" s="7" t="n">
        <f aca="false">Y7/X7</f>
        <v>0.00467662390085215</v>
      </c>
    </row>
    <row r="8" customFormat="false" ht="16.75" hidden="false" customHeight="false" outlineLevel="0" collapsed="false">
      <c r="B8" s="4"/>
      <c r="C8" s="5" t="n">
        <v>38</v>
      </c>
      <c r="D8" s="0" t="n">
        <v>365.4</v>
      </c>
      <c r="E8" s="0" t="n">
        <v>369.4</v>
      </c>
      <c r="F8" s="0" t="n">
        <v>368.7</v>
      </c>
      <c r="G8" s="0" t="n">
        <v>367</v>
      </c>
      <c r="H8" s="0" t="n">
        <v>367.3</v>
      </c>
      <c r="I8" s="0" t="n">
        <v>367.1</v>
      </c>
      <c r="J8" s="0" t="n">
        <v>364.9</v>
      </c>
      <c r="K8" s="0" t="n">
        <v>367.7</v>
      </c>
      <c r="L8" s="0" t="n">
        <v>367.7</v>
      </c>
      <c r="M8" s="0" t="n">
        <v>368.3</v>
      </c>
      <c r="N8" s="0" t="n">
        <v>370.3</v>
      </c>
      <c r="O8" s="0" t="n">
        <v>368.5</v>
      </c>
      <c r="P8" s="0" t="n">
        <v>366.4</v>
      </c>
      <c r="Q8" s="0" t="n">
        <v>369.2</v>
      </c>
      <c r="R8" s="0" t="n">
        <v>368.7</v>
      </c>
      <c r="S8" s="0" t="n">
        <v>369.5</v>
      </c>
      <c r="T8" s="0" t="n">
        <v>368.8</v>
      </c>
      <c r="U8" s="0" t="n">
        <v>369.3</v>
      </c>
      <c r="V8" s="0" t="n">
        <v>365.7</v>
      </c>
      <c r="W8" s="0" t="n">
        <v>365.9</v>
      </c>
      <c r="X8" s="6" t="n">
        <f aca="false">AVERAGE(D8:W8)</f>
        <v>367.79</v>
      </c>
      <c r="Y8" s="7" t="n">
        <f aca="false">_xlfn.STDEV.S(D8:W8)</f>
        <v>1.53585224069999</v>
      </c>
      <c r="Z8" s="7" t="n">
        <f aca="false">Y8/X8</f>
        <v>0.00417589450691968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343.4</v>
      </c>
      <c r="E9" s="0" t="n">
        <v>341.2</v>
      </c>
      <c r="F9" s="0" t="n">
        <v>343</v>
      </c>
      <c r="G9" s="0" t="n">
        <v>336.5</v>
      </c>
      <c r="H9" s="0" t="n">
        <v>338</v>
      </c>
      <c r="I9" s="0" t="n">
        <v>337.7</v>
      </c>
      <c r="J9" s="0" t="n">
        <v>332.2</v>
      </c>
      <c r="K9" s="0" t="n">
        <v>339.4</v>
      </c>
      <c r="L9" s="0" t="n">
        <v>368.5</v>
      </c>
      <c r="M9" s="0" t="n">
        <v>337.3</v>
      </c>
      <c r="N9" s="0" t="n">
        <v>349.6</v>
      </c>
      <c r="O9" s="0" t="n">
        <v>338</v>
      </c>
      <c r="P9" s="0" t="n">
        <v>340.6</v>
      </c>
      <c r="Q9" s="0" t="n">
        <v>340.2</v>
      </c>
      <c r="R9" s="0" t="n">
        <v>341</v>
      </c>
      <c r="S9" s="0" t="n">
        <v>345.3</v>
      </c>
      <c r="T9" s="0" t="n">
        <v>340.3</v>
      </c>
      <c r="U9" s="0" t="n">
        <v>359.5</v>
      </c>
      <c r="V9" s="0" t="n">
        <v>333.5</v>
      </c>
      <c r="W9" s="0" t="n">
        <v>346.3</v>
      </c>
      <c r="X9" s="6" t="n">
        <f aca="false">AVERAGE(D9:W9)</f>
        <v>342.575</v>
      </c>
      <c r="Y9" s="7" t="n">
        <f aca="false">_xlfn.STDEV.S(D9:W9)</f>
        <v>8.52117331925845</v>
      </c>
      <c r="Z9" s="7" t="n">
        <f aca="false">Y9/X9</f>
        <v>0.0248738913209033</v>
      </c>
    </row>
    <row r="10" customFormat="false" ht="16.75" hidden="false" customHeight="false" outlineLevel="0" collapsed="false">
      <c r="B10" s="4"/>
      <c r="C10" s="5" t="n">
        <v>63</v>
      </c>
      <c r="D10" s="0" t="n">
        <v>355.6</v>
      </c>
      <c r="E10" s="0" t="n">
        <v>349.5</v>
      </c>
      <c r="F10" s="0" t="n">
        <v>351.8</v>
      </c>
      <c r="G10" s="0" t="n">
        <v>346.7</v>
      </c>
      <c r="H10" s="0" t="n">
        <v>347.1</v>
      </c>
      <c r="I10" s="0" t="n">
        <v>364</v>
      </c>
      <c r="J10" s="0" t="n">
        <v>351.7</v>
      </c>
      <c r="K10" s="0" t="n">
        <v>363.4</v>
      </c>
      <c r="L10" s="0" t="n">
        <v>356.1</v>
      </c>
      <c r="M10" s="0" t="n">
        <v>352.4</v>
      </c>
      <c r="N10" s="0" t="n">
        <v>346.6</v>
      </c>
      <c r="O10" s="0" t="n">
        <v>369.8</v>
      </c>
      <c r="P10" s="0" t="n">
        <v>360.3</v>
      </c>
      <c r="Q10" s="0" t="n">
        <v>342.5</v>
      </c>
      <c r="R10" s="0" t="n">
        <v>348.3</v>
      </c>
      <c r="S10" s="0" t="n">
        <v>346.9</v>
      </c>
      <c r="T10" s="0" t="n">
        <v>350</v>
      </c>
      <c r="U10" s="0" t="n">
        <v>348.6</v>
      </c>
      <c r="V10" s="0" t="n">
        <v>346.8</v>
      </c>
      <c r="W10" s="0" t="n">
        <v>355.2</v>
      </c>
      <c r="X10" s="6" t="n">
        <f aca="false">AVERAGE(D10:W10)</f>
        <v>352.665</v>
      </c>
      <c r="Y10" s="7" t="n">
        <f aca="false">_xlfn.STDEV.S(D10:W10)</f>
        <v>7.07555279596026</v>
      </c>
      <c r="Z10" s="7" t="n">
        <f aca="false">Y10/X10</f>
        <v>0.020063098963493</v>
      </c>
    </row>
    <row r="11" customFormat="false" ht="16.75" hidden="false" customHeight="false" outlineLevel="0" collapsed="false">
      <c r="B11" s="4"/>
      <c r="C11" s="5" t="n">
        <v>93</v>
      </c>
      <c r="D11" s="0" t="n">
        <v>345</v>
      </c>
      <c r="E11" s="0" t="n">
        <v>340.9</v>
      </c>
      <c r="F11" s="0" t="n">
        <v>350.2</v>
      </c>
      <c r="G11" s="0" t="n">
        <v>351.9</v>
      </c>
      <c r="H11" s="0" t="n">
        <v>348.6</v>
      </c>
      <c r="I11" s="0" t="n">
        <v>355.8</v>
      </c>
      <c r="J11" s="0" t="n">
        <v>351.1</v>
      </c>
      <c r="K11" s="0" t="n">
        <v>359.4</v>
      </c>
      <c r="L11" s="0" t="n">
        <v>353.2</v>
      </c>
      <c r="M11" s="0" t="n">
        <v>354.4</v>
      </c>
      <c r="N11" s="0" t="n">
        <v>350.5</v>
      </c>
      <c r="O11" s="0" t="n">
        <v>333.7</v>
      </c>
      <c r="P11" s="0" t="n">
        <v>343.3</v>
      </c>
      <c r="Q11" s="0" t="n">
        <v>338.9</v>
      </c>
      <c r="R11" s="0" t="n">
        <v>351.2</v>
      </c>
      <c r="S11" s="0" t="n">
        <v>350.4</v>
      </c>
      <c r="T11" s="0" t="n">
        <v>355.7</v>
      </c>
      <c r="U11" s="0" t="n">
        <v>336.1</v>
      </c>
      <c r="V11" s="0" t="n">
        <v>354.6</v>
      </c>
      <c r="W11" s="0" t="n">
        <v>340.7</v>
      </c>
      <c r="X11" s="6" t="n">
        <f aca="false">AVERAGE(D11:W11)</f>
        <v>348.28</v>
      </c>
      <c r="Y11" s="7" t="n">
        <f aca="false">_xlfn.STDEV.S(D11:W11)</f>
        <v>7.16736757078475</v>
      </c>
      <c r="Z11" s="7" t="n">
        <f aca="false">Y11/X11</f>
        <v>0.0205793257459077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327.1</v>
      </c>
      <c r="E12" s="0" t="n">
        <v>320</v>
      </c>
      <c r="F12" s="0" t="n">
        <v>324.9</v>
      </c>
      <c r="G12" s="0" t="n">
        <v>335</v>
      </c>
      <c r="H12" s="0" t="n">
        <v>320.2</v>
      </c>
      <c r="I12" s="0" t="n">
        <v>340.4</v>
      </c>
      <c r="J12" s="0" t="n">
        <v>322.7</v>
      </c>
      <c r="K12" s="0" t="n">
        <v>321.3</v>
      </c>
      <c r="L12" s="0" t="n">
        <v>324.4</v>
      </c>
      <c r="M12" s="0" t="n">
        <v>351</v>
      </c>
      <c r="N12" s="0" t="n">
        <v>320.5</v>
      </c>
      <c r="O12" s="0" t="n">
        <v>320.1</v>
      </c>
      <c r="P12" s="0" t="n">
        <v>325.8</v>
      </c>
      <c r="Q12" s="0" t="n">
        <v>320.7</v>
      </c>
      <c r="R12" s="0" t="n">
        <v>329.1</v>
      </c>
      <c r="S12" s="0" t="n">
        <v>325.5</v>
      </c>
      <c r="T12" s="0" t="n">
        <v>346.9</v>
      </c>
      <c r="U12" s="0" t="n">
        <v>320.4</v>
      </c>
      <c r="V12" s="0" t="n">
        <v>320</v>
      </c>
      <c r="W12" s="0" t="n">
        <v>323</v>
      </c>
      <c r="X12" s="6" t="n">
        <f aca="false">AVERAGE(D12:W12)</f>
        <v>326.95</v>
      </c>
      <c r="Y12" s="7" t="n">
        <f aca="false">_xlfn.STDEV.S(D12:W12)</f>
        <v>9.23132538810395</v>
      </c>
      <c r="Z12" s="7" t="n">
        <f aca="false">Y12/X12</f>
        <v>0.028234670096663</v>
      </c>
    </row>
    <row r="13" customFormat="false" ht="16.75" hidden="false" customHeight="false" outlineLevel="0" collapsed="false">
      <c r="B13" s="4"/>
      <c r="C13" s="5" t="n">
        <v>38</v>
      </c>
      <c r="D13" s="0" t="n">
        <v>332.1</v>
      </c>
      <c r="E13" s="0" t="n">
        <v>331.7</v>
      </c>
      <c r="F13" s="0" t="n">
        <v>334.7</v>
      </c>
      <c r="G13" s="0" t="n">
        <v>327.5</v>
      </c>
      <c r="H13" s="0" t="n">
        <v>327.5</v>
      </c>
      <c r="I13" s="0" t="n">
        <v>334.9</v>
      </c>
      <c r="J13" s="0" t="n">
        <v>330.5</v>
      </c>
      <c r="K13" s="0" t="n">
        <v>330.2</v>
      </c>
      <c r="L13" s="0" t="n">
        <v>332.2</v>
      </c>
      <c r="M13" s="0" t="n">
        <v>336.9</v>
      </c>
      <c r="N13" s="0" t="n">
        <v>347</v>
      </c>
      <c r="O13" s="0" t="n">
        <v>341.7</v>
      </c>
      <c r="P13" s="0" t="n">
        <v>327.8</v>
      </c>
      <c r="Q13" s="0" t="n">
        <v>346.8</v>
      </c>
      <c r="R13" s="0" t="n">
        <v>354.6</v>
      </c>
      <c r="S13" s="0" t="n">
        <v>333.5</v>
      </c>
      <c r="T13" s="0" t="n">
        <v>338.1</v>
      </c>
      <c r="U13" s="0" t="n">
        <v>328.3</v>
      </c>
      <c r="V13" s="0" t="n">
        <v>326</v>
      </c>
      <c r="W13" s="0" t="n">
        <v>332.1</v>
      </c>
      <c r="X13" s="6" t="n">
        <f aca="false">AVERAGE(D13:W13)</f>
        <v>334.705</v>
      </c>
      <c r="Y13" s="7" t="n">
        <f aca="false">_xlfn.STDEV.S(D13:W13)</f>
        <v>7.59220341084056</v>
      </c>
      <c r="Z13" s="7" t="n">
        <f aca="false">Y13/X13</f>
        <v>0.0226832685823055</v>
      </c>
    </row>
    <row r="14" customFormat="false" ht="16.75" hidden="false" customHeight="false" outlineLevel="0" collapsed="false">
      <c r="B14" s="4"/>
      <c r="C14" s="5" t="n">
        <v>50</v>
      </c>
      <c r="D14" s="0" t="n">
        <v>349.3</v>
      </c>
      <c r="E14" s="0" t="n">
        <v>340.2</v>
      </c>
      <c r="F14" s="0" t="n">
        <v>346.7</v>
      </c>
      <c r="G14" s="0" t="n">
        <v>332.1</v>
      </c>
      <c r="H14" s="0" t="n">
        <v>332.8</v>
      </c>
      <c r="I14" s="0" t="n">
        <v>343.9</v>
      </c>
      <c r="J14" s="0" t="n">
        <v>331</v>
      </c>
      <c r="K14" s="0" t="n">
        <v>334.3</v>
      </c>
      <c r="L14" s="0" t="n">
        <v>328.8</v>
      </c>
      <c r="M14" s="0" t="n">
        <v>333.5</v>
      </c>
      <c r="N14" s="0" t="n">
        <v>334.8</v>
      </c>
      <c r="O14" s="0" t="n">
        <v>329.7</v>
      </c>
      <c r="P14" s="0" t="n">
        <v>327.2</v>
      </c>
      <c r="Q14" s="0" t="n">
        <v>326.4</v>
      </c>
      <c r="R14" s="0" t="n">
        <v>329.5</v>
      </c>
      <c r="S14" s="0" t="n">
        <v>329.2</v>
      </c>
      <c r="T14" s="0" t="n">
        <v>334.9</v>
      </c>
      <c r="U14" s="0" t="n">
        <v>341.6</v>
      </c>
      <c r="V14" s="0" t="n">
        <v>332.6</v>
      </c>
      <c r="W14" s="0" t="n">
        <v>329.3</v>
      </c>
      <c r="X14" s="6" t="n">
        <f aca="false">AVERAGE(D14:W14)</f>
        <v>334.39</v>
      </c>
      <c r="Y14" s="7" t="n">
        <f aca="false">_xlfn.STDEV.S(D14:W14)</f>
        <v>6.56649389745115</v>
      </c>
      <c r="Z14" s="7" t="n">
        <f aca="false">Y14/X14</f>
        <v>0.019637231667966</v>
      </c>
    </row>
    <row r="15" customFormat="false" ht="16.75" hidden="false" customHeight="false" outlineLevel="0" collapsed="false">
      <c r="B15" s="4"/>
      <c r="C15" s="5" t="n">
        <v>75</v>
      </c>
      <c r="D15" s="0" t="n">
        <v>335.1</v>
      </c>
      <c r="E15" s="0" t="n">
        <v>330</v>
      </c>
      <c r="F15" s="0" t="n">
        <v>326.4</v>
      </c>
      <c r="G15" s="0" t="n">
        <v>332.4</v>
      </c>
      <c r="H15" s="0" t="n">
        <v>330.4</v>
      </c>
      <c r="I15" s="0" t="n">
        <v>337.5</v>
      </c>
      <c r="J15" s="0" t="n">
        <v>323.1</v>
      </c>
      <c r="K15" s="0" t="n">
        <v>342.6</v>
      </c>
      <c r="L15" s="0" t="n">
        <v>326.1</v>
      </c>
      <c r="M15" s="0" t="n">
        <v>339.8</v>
      </c>
      <c r="N15" s="0" t="n">
        <v>328.5</v>
      </c>
      <c r="O15" s="0" t="n">
        <v>324.5</v>
      </c>
      <c r="P15" s="0" t="n">
        <v>351.7</v>
      </c>
      <c r="Q15" s="0" t="n">
        <v>339.2</v>
      </c>
      <c r="R15" s="0" t="n">
        <v>320.4</v>
      </c>
      <c r="S15" s="0" t="n">
        <v>343.7</v>
      </c>
      <c r="T15" s="0" t="n">
        <v>321.9</v>
      </c>
      <c r="U15" s="0" t="n">
        <v>322.5</v>
      </c>
      <c r="V15" s="0" t="n">
        <v>331.2</v>
      </c>
      <c r="W15" s="0" t="n">
        <v>322.5</v>
      </c>
      <c r="X15" s="6" t="n">
        <f aca="false">AVERAGE(D15:W15)</f>
        <v>331.475</v>
      </c>
      <c r="Y15" s="7" t="n">
        <f aca="false">_xlfn.STDEV.S(D15:W15)</f>
        <v>8.65319381256971</v>
      </c>
      <c r="Z15" s="7" t="n">
        <f aca="false">Y15/X15</f>
        <v>0.026105117467591</v>
      </c>
    </row>
    <row r="16" customFormat="false" ht="16.75" hidden="false" customHeight="false" outlineLevel="0" collapsed="false">
      <c r="B16" s="4"/>
      <c r="C16" s="5" t="n">
        <v>100</v>
      </c>
      <c r="D16" s="0" t="n">
        <v>303.4</v>
      </c>
      <c r="E16" s="0" t="n">
        <v>292.2</v>
      </c>
      <c r="F16" s="0" t="n">
        <v>311.2</v>
      </c>
      <c r="G16" s="0" t="n">
        <v>308.9</v>
      </c>
      <c r="H16" s="0" t="n">
        <v>305.7</v>
      </c>
      <c r="I16" s="0" t="n">
        <v>305.2</v>
      </c>
      <c r="J16" s="0" t="n">
        <v>319.4</v>
      </c>
      <c r="K16" s="0" t="n">
        <v>335</v>
      </c>
      <c r="L16" s="0" t="n">
        <v>300.7</v>
      </c>
      <c r="M16" s="0" t="n">
        <v>324.2</v>
      </c>
      <c r="N16" s="0" t="n">
        <v>317.4</v>
      </c>
      <c r="O16" s="0" t="n">
        <v>327.3</v>
      </c>
      <c r="P16" s="0" t="n">
        <v>281.3</v>
      </c>
      <c r="Q16" s="0" t="n">
        <v>302.8</v>
      </c>
      <c r="R16" s="0" t="n">
        <v>287.5</v>
      </c>
      <c r="S16" s="0" t="n">
        <v>290.5</v>
      </c>
      <c r="T16" s="0" t="n">
        <v>316.4</v>
      </c>
      <c r="U16" s="0" t="n">
        <v>319.5</v>
      </c>
      <c r="V16" s="0" t="n">
        <v>307.5</v>
      </c>
      <c r="W16" s="0" t="n">
        <v>320.8</v>
      </c>
      <c r="X16" s="6" t="n">
        <f aca="false">AVERAGE(D16:W16)</f>
        <v>308.845</v>
      </c>
      <c r="Y16" s="7" t="n">
        <f aca="false">_xlfn.STDEV.S(D16:W16)</f>
        <v>14.0479807501966</v>
      </c>
      <c r="Z16" s="7" t="n">
        <f aca="false">Y16/X16</f>
        <v>0.0454855372442378</v>
      </c>
    </row>
    <row r="17" customFormat="false" ht="16.75" hidden="false" customHeight="false" outlineLevel="0" collapsed="false">
      <c r="B17" s="4"/>
      <c r="C17" s="5" t="n">
        <v>150</v>
      </c>
      <c r="D17" s="0" t="n">
        <v>335.7</v>
      </c>
      <c r="E17" s="0" t="n">
        <v>321.8</v>
      </c>
      <c r="F17" s="0" t="n">
        <v>336.4</v>
      </c>
      <c r="G17" s="0" t="n">
        <v>302.7</v>
      </c>
      <c r="H17" s="0" t="n">
        <v>307.3</v>
      </c>
      <c r="I17" s="0" t="n">
        <v>299.1</v>
      </c>
      <c r="J17" s="0" t="n">
        <v>314.4</v>
      </c>
      <c r="K17" s="0" t="n">
        <v>316</v>
      </c>
      <c r="L17" s="0" t="n">
        <v>307.1</v>
      </c>
      <c r="M17" s="0" t="n">
        <v>335.7</v>
      </c>
      <c r="N17" s="0" t="n">
        <v>276.9</v>
      </c>
      <c r="O17" s="0" t="n">
        <v>295</v>
      </c>
      <c r="P17" s="0" t="n">
        <v>309</v>
      </c>
      <c r="Q17" s="0" t="n">
        <v>334.5</v>
      </c>
      <c r="R17" s="0" t="n">
        <v>346.7</v>
      </c>
      <c r="S17" s="0" t="n">
        <v>294.2</v>
      </c>
      <c r="T17" s="0" t="n">
        <v>336.4</v>
      </c>
      <c r="U17" s="0" t="n">
        <v>337.3</v>
      </c>
      <c r="V17" s="0" t="n">
        <v>340.2</v>
      </c>
      <c r="W17" s="0" t="n">
        <v>296.5</v>
      </c>
      <c r="X17" s="6" t="n">
        <f aca="false">AVERAGE(D17:W17)</f>
        <v>317.145</v>
      </c>
      <c r="Y17" s="7" t="n">
        <f aca="false">_xlfn.STDEV.S(D17:W17)</f>
        <v>19.7807049791883</v>
      </c>
      <c r="Z17" s="7" t="n">
        <f aca="false">Y17/X17</f>
        <v>0.0623711708498897</v>
      </c>
    </row>
    <row r="18" customFormat="false" ht="15" hidden="false" customHeight="true" outlineLevel="0" collapsed="false">
      <c r="A18" s="1" t="s">
        <v>39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366.7</v>
      </c>
      <c r="E23" s="0" t="n">
        <v>363.2</v>
      </c>
      <c r="F23" s="0" t="n">
        <v>358.8</v>
      </c>
      <c r="G23" s="0" t="n">
        <v>362.8</v>
      </c>
      <c r="H23" s="0" t="n">
        <v>365.5</v>
      </c>
      <c r="I23" s="0" t="n">
        <v>362.1</v>
      </c>
      <c r="J23" s="0" t="n">
        <v>360</v>
      </c>
      <c r="K23" s="0" t="n">
        <v>362.8</v>
      </c>
      <c r="L23" s="0" t="n">
        <v>360.2</v>
      </c>
      <c r="M23" s="0" t="n">
        <v>368.9</v>
      </c>
      <c r="N23" s="0" t="n">
        <v>363.8</v>
      </c>
      <c r="O23" s="0" t="n">
        <v>364.1</v>
      </c>
      <c r="P23" s="0" t="n">
        <v>363.3</v>
      </c>
      <c r="Q23" s="0" t="n">
        <v>360.6</v>
      </c>
      <c r="R23" s="0" t="n">
        <v>361.6</v>
      </c>
      <c r="S23" s="0" t="n">
        <v>362.9</v>
      </c>
      <c r="T23" s="0" t="n">
        <v>364.7</v>
      </c>
      <c r="U23" s="0" t="n">
        <v>359.8</v>
      </c>
      <c r="V23" s="0" t="n">
        <v>360.1</v>
      </c>
      <c r="W23" s="0" t="n">
        <v>363.6</v>
      </c>
      <c r="X23" s="6" t="n">
        <f aca="false">AVERAGE(D23:W23)</f>
        <v>362.775</v>
      </c>
      <c r="Y23" s="7" t="n">
        <f aca="false">_xlfn.STDEV.S(D23:W23)</f>
        <v>2.52062544452343</v>
      </c>
      <c r="Z23" s="7" t="n">
        <f aca="false">Y23/X23</f>
        <v>0.00694817847019068</v>
      </c>
    </row>
    <row r="24" customFormat="false" ht="16.75" hidden="false" customHeight="false" outlineLevel="0" collapsed="false">
      <c r="B24" s="4"/>
      <c r="C24" s="5" t="n">
        <v>25</v>
      </c>
      <c r="D24" s="0" t="n">
        <v>361.9</v>
      </c>
      <c r="E24" s="0" t="n">
        <v>361.3</v>
      </c>
      <c r="F24" s="0" t="n">
        <v>359.9</v>
      </c>
      <c r="G24" s="0" t="n">
        <v>361.7</v>
      </c>
      <c r="H24" s="0" t="n">
        <v>361.9</v>
      </c>
      <c r="I24" s="0" t="n">
        <v>361.1</v>
      </c>
      <c r="J24" s="0" t="n">
        <v>361.3</v>
      </c>
      <c r="K24" s="0" t="n">
        <v>362.9</v>
      </c>
      <c r="L24" s="0" t="n">
        <v>360.8</v>
      </c>
      <c r="M24" s="0" t="n">
        <v>360.2</v>
      </c>
      <c r="N24" s="0" t="n">
        <v>361</v>
      </c>
      <c r="O24" s="0" t="n">
        <v>362.1</v>
      </c>
      <c r="P24" s="0" t="n">
        <v>359.5</v>
      </c>
      <c r="Q24" s="0" t="n">
        <v>365.6</v>
      </c>
      <c r="R24" s="0" t="n">
        <v>363.6</v>
      </c>
      <c r="S24" s="0" t="n">
        <v>359.5</v>
      </c>
      <c r="T24" s="0" t="n">
        <v>359.2</v>
      </c>
      <c r="U24" s="0" t="n">
        <v>365.6</v>
      </c>
      <c r="V24" s="0" t="n">
        <v>360.8</v>
      </c>
      <c r="W24" s="0" t="n">
        <v>361.6</v>
      </c>
      <c r="X24" s="6" t="n">
        <f aca="false">AVERAGE(D24:W24)</f>
        <v>361.575</v>
      </c>
      <c r="Y24" s="7" t="n">
        <f aca="false">_xlfn.STDEV.S(D24:W24)</f>
        <v>1.77137324070755</v>
      </c>
      <c r="Z24" s="7" t="n">
        <f aca="false">Y24/X24</f>
        <v>0.00489904788967033</v>
      </c>
    </row>
    <row r="25" customFormat="false" ht="16.75" hidden="false" customHeight="false" outlineLevel="0" collapsed="false">
      <c r="B25" s="4"/>
      <c r="C25" s="5" t="n">
        <v>38</v>
      </c>
      <c r="D25" s="0" t="n">
        <v>364.1</v>
      </c>
      <c r="E25" s="0" t="n">
        <v>363.3</v>
      </c>
      <c r="F25" s="0" t="n">
        <v>361.4</v>
      </c>
      <c r="G25" s="0" t="n">
        <v>361.9</v>
      </c>
      <c r="H25" s="0" t="n">
        <v>361.6</v>
      </c>
      <c r="I25" s="0" t="n">
        <v>360.3</v>
      </c>
      <c r="J25" s="0" t="n">
        <v>360.9</v>
      </c>
      <c r="K25" s="0" t="n">
        <v>363.4</v>
      </c>
      <c r="L25" s="0" t="n">
        <v>359.3</v>
      </c>
      <c r="M25" s="0" t="n">
        <v>359.7</v>
      </c>
      <c r="N25" s="0" t="n">
        <v>364.8</v>
      </c>
      <c r="O25" s="0" t="n">
        <v>364.7</v>
      </c>
      <c r="P25" s="0" t="n">
        <v>360.4</v>
      </c>
      <c r="Q25" s="0" t="n">
        <v>363.8</v>
      </c>
      <c r="R25" s="0" t="n">
        <v>363.5</v>
      </c>
      <c r="S25" s="0" t="n">
        <v>350.2</v>
      </c>
      <c r="T25" s="0" t="n">
        <v>362.2</v>
      </c>
      <c r="U25" s="0" t="n">
        <v>361.6</v>
      </c>
      <c r="V25" s="0" t="n">
        <v>365.4</v>
      </c>
      <c r="W25" s="0" t="n">
        <v>364.9</v>
      </c>
      <c r="X25" s="6" t="n">
        <f aca="false">AVERAGE(D25:W25)</f>
        <v>361.87</v>
      </c>
      <c r="Y25" s="7" t="n">
        <f aca="false">_xlfn.STDEV.S(D25:W25)</f>
        <v>3.30487677929387</v>
      </c>
      <c r="Z25" s="7" t="n">
        <f aca="false">Y25/X25</f>
        <v>0.00913277359077532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348.1</v>
      </c>
      <c r="E26" s="0" t="n">
        <v>348</v>
      </c>
      <c r="F26" s="0" t="n">
        <v>345.7</v>
      </c>
      <c r="G26" s="0" t="n">
        <v>351.6</v>
      </c>
      <c r="H26" s="0" t="n">
        <v>345.7</v>
      </c>
      <c r="I26" s="0" t="n">
        <v>348.4</v>
      </c>
      <c r="J26" s="0" t="n">
        <v>350.2</v>
      </c>
      <c r="K26" s="0" t="n">
        <v>345.4</v>
      </c>
      <c r="L26" s="0" t="n">
        <v>339.3</v>
      </c>
      <c r="M26" s="0" t="n">
        <v>352.2</v>
      </c>
      <c r="N26" s="0" t="n">
        <v>345.4</v>
      </c>
      <c r="O26" s="0" t="n">
        <v>341</v>
      </c>
      <c r="P26" s="0" t="n">
        <v>345.4</v>
      </c>
      <c r="Q26" s="0" t="n">
        <v>357</v>
      </c>
      <c r="R26" s="0" t="n">
        <v>350.4</v>
      </c>
      <c r="S26" s="0" t="n">
        <v>344.8</v>
      </c>
      <c r="T26" s="0" t="n">
        <v>335.2</v>
      </c>
      <c r="U26" s="0" t="n">
        <v>349.1</v>
      </c>
      <c r="V26" s="0" t="n">
        <v>351.3</v>
      </c>
      <c r="W26" s="0" t="n">
        <v>343.6</v>
      </c>
      <c r="X26" s="6" t="n">
        <f aca="false">AVERAGE(D26:W26)</f>
        <v>346.89</v>
      </c>
      <c r="Y26" s="7" t="n">
        <f aca="false">_xlfn.STDEV.S(D26:W26)</f>
        <v>4.91409358778134</v>
      </c>
      <c r="Z26" s="7" t="n">
        <f aca="false">Y26/X26</f>
        <v>0.0141661436991016</v>
      </c>
    </row>
    <row r="27" customFormat="false" ht="16.75" hidden="false" customHeight="false" outlineLevel="0" collapsed="false">
      <c r="B27" s="4"/>
      <c r="C27" s="5" t="n">
        <v>63</v>
      </c>
      <c r="D27" s="9" t="n">
        <v>354.6</v>
      </c>
      <c r="E27" s="9" t="n">
        <v>353.4</v>
      </c>
      <c r="F27" s="9" t="n">
        <v>355.6</v>
      </c>
      <c r="G27" s="9" t="n">
        <v>351.7</v>
      </c>
      <c r="H27" s="9" t="n">
        <v>352</v>
      </c>
      <c r="I27" s="9" t="n">
        <v>350.2</v>
      </c>
      <c r="J27" s="9" t="n">
        <v>353.8</v>
      </c>
      <c r="K27" s="9" t="n">
        <v>350.5</v>
      </c>
      <c r="L27" s="9" t="n">
        <v>353.8</v>
      </c>
      <c r="M27" s="9" t="n">
        <v>348.7</v>
      </c>
      <c r="N27" s="9" t="n">
        <v>352.3</v>
      </c>
      <c r="O27" s="9" t="n">
        <v>373</v>
      </c>
      <c r="P27" s="9" t="n">
        <v>355.9</v>
      </c>
      <c r="Q27" s="9" t="n">
        <v>354</v>
      </c>
      <c r="R27" s="9" t="n">
        <v>359</v>
      </c>
      <c r="S27" s="9" t="n">
        <v>352.6</v>
      </c>
      <c r="T27" s="9" t="n">
        <v>349.7</v>
      </c>
      <c r="U27" s="9" t="n">
        <v>359.9</v>
      </c>
      <c r="V27" s="9" t="n">
        <v>355.2</v>
      </c>
      <c r="W27" s="9" t="n">
        <v>353</v>
      </c>
      <c r="X27" s="6" t="n">
        <f aca="false">AVERAGE(D27:W27)</f>
        <v>354.445</v>
      </c>
      <c r="Y27" s="7" t="n">
        <f aca="false">_xlfn.STDEV.S(D27:W27)</f>
        <v>5.19954198387755</v>
      </c>
      <c r="Z27" s="7" t="n">
        <f aca="false">Y27/X27</f>
        <v>0.0146695311934928</v>
      </c>
    </row>
    <row r="28" customFormat="false" ht="16.75" hidden="false" customHeight="false" outlineLevel="0" collapsed="false">
      <c r="B28" s="4"/>
      <c r="C28" s="5" t="n">
        <v>93</v>
      </c>
      <c r="D28" s="0" t="n">
        <v>351.1</v>
      </c>
      <c r="E28" s="0" t="n">
        <v>352.7</v>
      </c>
      <c r="F28" s="0" t="n">
        <v>354.9</v>
      </c>
      <c r="G28" s="0" t="n">
        <v>356.4</v>
      </c>
      <c r="H28" s="0" t="n">
        <v>355.6</v>
      </c>
      <c r="I28" s="0" t="n">
        <v>350.1</v>
      </c>
      <c r="J28" s="0" t="n">
        <v>354</v>
      </c>
      <c r="K28" s="0" t="n">
        <v>359.7</v>
      </c>
      <c r="L28" s="0" t="n">
        <v>355</v>
      </c>
      <c r="M28" s="0" t="n">
        <v>360.1</v>
      </c>
      <c r="N28" s="0" t="n">
        <v>357.6</v>
      </c>
      <c r="O28" s="0" t="n">
        <v>365.7</v>
      </c>
      <c r="P28" s="0" t="n">
        <v>357.2</v>
      </c>
      <c r="Q28" s="0" t="n">
        <v>366.8</v>
      </c>
      <c r="R28" s="0" t="n">
        <v>358.3</v>
      </c>
      <c r="S28" s="0" t="n">
        <v>362.4</v>
      </c>
      <c r="T28" s="0" t="n">
        <v>360</v>
      </c>
      <c r="U28" s="0" t="n">
        <v>358.2</v>
      </c>
      <c r="V28" s="0" t="n">
        <v>359.6</v>
      </c>
      <c r="W28" s="0" t="n">
        <v>360</v>
      </c>
      <c r="X28" s="6" t="n">
        <f aca="false">AVERAGE(D28:W28)</f>
        <v>357.77</v>
      </c>
      <c r="Y28" s="7" t="n">
        <f aca="false">_xlfn.STDEV.S(D28:W28)</f>
        <v>4.32168339520852</v>
      </c>
      <c r="Z28" s="7" t="n">
        <f aca="false">Y28/X28</f>
        <v>0.0120795019012453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309.5</v>
      </c>
      <c r="E29" s="0" t="n">
        <v>300.1</v>
      </c>
      <c r="F29" s="0" t="n">
        <v>305.6</v>
      </c>
      <c r="G29" s="0" t="n">
        <v>305.9</v>
      </c>
      <c r="H29" s="0" t="n">
        <v>310.9</v>
      </c>
      <c r="I29" s="0" t="n">
        <v>304.5</v>
      </c>
      <c r="J29" s="0" t="n">
        <v>306.9</v>
      </c>
      <c r="K29" s="0" t="n">
        <v>322.4</v>
      </c>
      <c r="L29" s="0" t="n">
        <v>302.4</v>
      </c>
      <c r="M29" s="0" t="n">
        <v>305.5</v>
      </c>
      <c r="N29" s="0" t="n">
        <v>307.6</v>
      </c>
      <c r="O29" s="0" t="n">
        <v>303.4</v>
      </c>
      <c r="P29" s="0" t="n">
        <v>305.3</v>
      </c>
      <c r="Q29" s="0" t="n">
        <v>307.6</v>
      </c>
      <c r="R29" s="0" t="n">
        <v>315.1</v>
      </c>
      <c r="S29" s="0" t="n">
        <v>309.4</v>
      </c>
      <c r="T29" s="0" t="n">
        <v>305.8</v>
      </c>
      <c r="U29" s="0" t="n">
        <v>294.6</v>
      </c>
      <c r="V29" s="0" t="n">
        <v>306</v>
      </c>
      <c r="W29" s="0" t="n">
        <v>299.7</v>
      </c>
      <c r="X29" s="6" t="n">
        <f aca="false">AVERAGE(D29:W29)</f>
        <v>306.41</v>
      </c>
      <c r="Y29" s="7" t="n">
        <f aca="false">_xlfn.STDEV.S(D29:W29)</f>
        <v>5.7561774596835</v>
      </c>
      <c r="Z29" s="7" t="n">
        <f aca="false">Y29/X29</f>
        <v>0.0187858668440439</v>
      </c>
    </row>
    <row r="30" customFormat="false" ht="16.75" hidden="false" customHeight="false" outlineLevel="0" collapsed="false">
      <c r="B30" s="4"/>
      <c r="C30" s="5" t="n">
        <v>38</v>
      </c>
      <c r="D30" s="0" t="n">
        <v>329.9</v>
      </c>
      <c r="E30" s="0" t="n">
        <v>315.3</v>
      </c>
      <c r="F30" s="0" t="n">
        <v>316.1</v>
      </c>
      <c r="G30" s="0" t="n">
        <v>314.9</v>
      </c>
      <c r="H30" s="0" t="n">
        <v>318.8</v>
      </c>
      <c r="I30" s="0" t="n">
        <v>318.6</v>
      </c>
      <c r="J30" s="0" t="n">
        <v>313.2</v>
      </c>
      <c r="K30" s="0" t="n">
        <v>313.4</v>
      </c>
      <c r="L30" s="0" t="n">
        <v>335</v>
      </c>
      <c r="M30" s="0" t="n">
        <v>315.4</v>
      </c>
      <c r="N30" s="0" t="n">
        <v>317.7</v>
      </c>
      <c r="O30" s="0" t="n">
        <v>314.4</v>
      </c>
      <c r="P30" s="0" t="n">
        <v>315.7</v>
      </c>
      <c r="Q30" s="0" t="n">
        <v>324.8</v>
      </c>
      <c r="R30" s="0" t="n">
        <v>305.7</v>
      </c>
      <c r="S30" s="0" t="n">
        <v>322.2</v>
      </c>
      <c r="T30" s="0" t="n">
        <v>307.7</v>
      </c>
      <c r="U30" s="0" t="n">
        <v>312.2</v>
      </c>
      <c r="V30" s="0" t="n">
        <v>311</v>
      </c>
      <c r="W30" s="0" t="n">
        <v>317.4</v>
      </c>
      <c r="X30" s="6" t="n">
        <f aca="false">AVERAGE(D30:W30)</f>
        <v>316.97</v>
      </c>
      <c r="Y30" s="7" t="n">
        <f aca="false">_xlfn.STDEV.S(D30:W30)</f>
        <v>6.8995118057653</v>
      </c>
      <c r="Z30" s="7" t="n">
        <f aca="false">Y30/X30</f>
        <v>0.0217670814454532</v>
      </c>
    </row>
    <row r="31" customFormat="false" ht="16.75" hidden="false" customHeight="false" outlineLevel="0" collapsed="false">
      <c r="B31" s="4"/>
      <c r="C31" s="5" t="n">
        <v>50</v>
      </c>
      <c r="D31" s="0" t="n">
        <v>320.8</v>
      </c>
      <c r="E31" s="0" t="n">
        <v>323</v>
      </c>
      <c r="F31" s="0" t="n">
        <v>312.2</v>
      </c>
      <c r="G31" s="0" t="n">
        <v>312.2</v>
      </c>
      <c r="H31" s="0" t="n">
        <v>320.6</v>
      </c>
      <c r="I31" s="0" t="n">
        <v>328.7</v>
      </c>
      <c r="J31" s="0" t="n">
        <v>311.8</v>
      </c>
      <c r="K31" s="0" t="n">
        <v>325.6</v>
      </c>
      <c r="L31" s="0" t="n">
        <v>323.4</v>
      </c>
      <c r="M31" s="0" t="n">
        <v>325.1</v>
      </c>
      <c r="N31" s="0" t="n">
        <v>324</v>
      </c>
      <c r="O31" s="0" t="n">
        <v>316.8</v>
      </c>
      <c r="P31" s="0" t="n">
        <v>325.1</v>
      </c>
      <c r="Q31" s="0" t="n">
        <v>327.1</v>
      </c>
      <c r="R31" s="0" t="n">
        <v>329.4</v>
      </c>
      <c r="S31" s="0" t="n">
        <v>313.7</v>
      </c>
      <c r="T31" s="0" t="n">
        <v>324.7</v>
      </c>
      <c r="U31" s="0" t="n">
        <v>316.8</v>
      </c>
      <c r="V31" s="0" t="n">
        <v>326.6</v>
      </c>
      <c r="W31" s="0" t="n">
        <v>328.1</v>
      </c>
      <c r="X31" s="6" t="n">
        <f aca="false">AVERAGE(D31:W31)</f>
        <v>321.785</v>
      </c>
      <c r="Y31" s="7" t="n">
        <f aca="false">_xlfn.STDEV.S(D31:W31)</f>
        <v>5.85808258553491</v>
      </c>
      <c r="Z31" s="7" t="n">
        <f aca="false">Y31/X31</f>
        <v>0.0182049585454105</v>
      </c>
    </row>
    <row r="32" customFormat="false" ht="16.75" hidden="false" customHeight="false" outlineLevel="0" collapsed="false">
      <c r="B32" s="4"/>
      <c r="C32" s="5" t="n">
        <v>75</v>
      </c>
      <c r="D32" s="0" t="n">
        <v>332.5</v>
      </c>
      <c r="E32" s="0" t="n">
        <v>321.2</v>
      </c>
      <c r="F32" s="0" t="n">
        <v>328.9</v>
      </c>
      <c r="G32" s="0" t="n">
        <v>328.2</v>
      </c>
      <c r="H32" s="0" t="n">
        <v>328.8</v>
      </c>
      <c r="I32" s="0" t="n">
        <v>325.3</v>
      </c>
      <c r="J32" s="0" t="n">
        <v>345.4</v>
      </c>
      <c r="K32" s="0" t="n">
        <v>318.3</v>
      </c>
      <c r="L32" s="0" t="n">
        <v>335.4</v>
      </c>
      <c r="M32" s="0" t="n">
        <v>325.8</v>
      </c>
      <c r="N32" s="0" t="n">
        <v>329.4</v>
      </c>
      <c r="O32" s="0" t="n">
        <v>325.2</v>
      </c>
      <c r="P32" s="0" t="n">
        <v>320.9</v>
      </c>
      <c r="Q32" s="0" t="n">
        <v>327.3</v>
      </c>
      <c r="R32" s="0" t="n">
        <v>328.9</v>
      </c>
      <c r="S32" s="0" t="n">
        <v>332.1</v>
      </c>
      <c r="T32" s="0" t="n">
        <v>327</v>
      </c>
      <c r="U32" s="0" t="n">
        <v>329.5</v>
      </c>
      <c r="V32" s="0" t="n">
        <v>331</v>
      </c>
      <c r="W32" s="0" t="n">
        <v>328.4</v>
      </c>
      <c r="X32" s="6" t="n">
        <f aca="false">AVERAGE(D32:W32)</f>
        <v>328.475</v>
      </c>
      <c r="Y32" s="7" t="n">
        <f aca="false">_xlfn.STDEV.S(D32:W32)</f>
        <v>5.70289630940187</v>
      </c>
      <c r="Z32" s="7" t="n">
        <f aca="false">Y32/X32</f>
        <v>0.0173617362338134</v>
      </c>
    </row>
    <row r="33" customFormat="false" ht="16.75" hidden="false" customHeight="false" outlineLevel="0" collapsed="false">
      <c r="B33" s="4"/>
      <c r="C33" s="5" t="n">
        <v>100</v>
      </c>
      <c r="D33" s="0" t="n">
        <v>336.4</v>
      </c>
      <c r="E33" s="0" t="n">
        <v>332.2</v>
      </c>
      <c r="F33" s="0" t="n">
        <v>337</v>
      </c>
      <c r="G33" s="0" t="n">
        <v>320</v>
      </c>
      <c r="H33" s="0" t="n">
        <v>324.1</v>
      </c>
      <c r="I33" s="0" t="n">
        <v>325.5</v>
      </c>
      <c r="J33" s="0" t="n">
        <v>323.7</v>
      </c>
      <c r="K33" s="0" t="n">
        <v>328.3</v>
      </c>
      <c r="L33" s="0" t="n">
        <v>327.3</v>
      </c>
      <c r="M33" s="0" t="n">
        <v>333.2</v>
      </c>
      <c r="N33" s="0" t="n">
        <v>330.4</v>
      </c>
      <c r="O33" s="0" t="n">
        <v>325.7</v>
      </c>
      <c r="P33" s="0" t="n">
        <v>349.6</v>
      </c>
      <c r="Q33" s="0" t="n">
        <v>345.6</v>
      </c>
      <c r="R33" s="0" t="n">
        <v>330.3</v>
      </c>
      <c r="S33" s="0" t="n">
        <v>339.2</v>
      </c>
      <c r="T33" s="0" t="n">
        <v>343.1</v>
      </c>
      <c r="U33" s="0" t="n">
        <v>328.6</v>
      </c>
      <c r="V33" s="0" t="n">
        <v>329.2</v>
      </c>
      <c r="W33" s="0" t="n">
        <v>337.2</v>
      </c>
      <c r="X33" s="6" t="n">
        <f aca="false">AVERAGE(D33:W33)</f>
        <v>332.33</v>
      </c>
      <c r="Y33" s="7" t="n">
        <f aca="false">_xlfn.STDEV.S(D33:W33)</f>
        <v>7.80803230148625</v>
      </c>
      <c r="Z33" s="7" t="n">
        <f aca="false">Y33/X33</f>
        <v>0.0234948163015263</v>
      </c>
    </row>
    <row r="34" customFormat="false" ht="16.75" hidden="false" customHeight="false" outlineLevel="0" collapsed="false">
      <c r="B34" s="4"/>
      <c r="C34" s="5" t="n">
        <v>150</v>
      </c>
      <c r="D34" s="0" t="n">
        <v>334.7</v>
      </c>
      <c r="E34" s="0" t="n">
        <v>333.3</v>
      </c>
      <c r="F34" s="0" t="n">
        <v>331.2</v>
      </c>
      <c r="G34" s="0" t="n">
        <v>322.7</v>
      </c>
      <c r="H34" s="0" t="n">
        <v>318</v>
      </c>
      <c r="I34" s="0" t="n">
        <v>323</v>
      </c>
      <c r="J34" s="0" t="n">
        <v>323.1</v>
      </c>
      <c r="K34" s="0" t="n">
        <v>324.5</v>
      </c>
      <c r="L34" s="0" t="n">
        <v>330.9</v>
      </c>
      <c r="M34" s="0" t="n">
        <v>336.6</v>
      </c>
      <c r="N34" s="0" t="n">
        <v>330.2</v>
      </c>
      <c r="O34" s="0" t="n">
        <v>334.9</v>
      </c>
      <c r="P34" s="0" t="n">
        <v>328</v>
      </c>
      <c r="Q34" s="0" t="n">
        <v>329.3</v>
      </c>
      <c r="R34" s="0" t="n">
        <v>314.2</v>
      </c>
      <c r="S34" s="0" t="n">
        <v>333.6</v>
      </c>
      <c r="T34" s="0" t="n">
        <v>334</v>
      </c>
      <c r="U34" s="0" t="n">
        <v>321.2</v>
      </c>
      <c r="V34" s="0" t="n">
        <v>340.3</v>
      </c>
      <c r="W34" s="0" t="n">
        <v>332</v>
      </c>
      <c r="X34" s="6" t="n">
        <f aca="false">AVERAGE(D34:W34)</f>
        <v>328.785</v>
      </c>
      <c r="Y34" s="7" t="n">
        <f aca="false">_xlfn.STDEV.S(D34:W34)</f>
        <v>6.75934246257103</v>
      </c>
      <c r="Z34" s="7" t="n">
        <f aca="false">Y34/X34</f>
        <v>0.0205585487858967</v>
      </c>
    </row>
    <row r="35" customFormat="false" ht="15" hidden="false" customHeight="true" outlineLevel="0" collapsed="false">
      <c r="A35" s="1" t="s">
        <v>39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375.7</v>
      </c>
      <c r="E40" s="0" t="n">
        <v>366.5</v>
      </c>
      <c r="F40" s="0" t="n">
        <v>364</v>
      </c>
      <c r="G40" s="0" t="n">
        <v>365.6</v>
      </c>
      <c r="H40" s="0" t="n">
        <v>397</v>
      </c>
      <c r="I40" s="0" t="n">
        <v>364</v>
      </c>
      <c r="J40" s="0" t="n">
        <v>370.5</v>
      </c>
      <c r="K40" s="0" t="n">
        <v>366.1</v>
      </c>
      <c r="L40" s="0" t="n">
        <v>366.1</v>
      </c>
      <c r="M40" s="0" t="n">
        <v>363.2</v>
      </c>
      <c r="N40" s="0" t="n">
        <v>365.4</v>
      </c>
      <c r="O40" s="0" t="n">
        <v>364.2</v>
      </c>
      <c r="P40" s="0" t="n">
        <v>367.5</v>
      </c>
      <c r="Q40" s="0" t="n">
        <v>368.4</v>
      </c>
      <c r="R40" s="0" t="n">
        <v>367</v>
      </c>
      <c r="S40" s="0" t="n">
        <v>387.7</v>
      </c>
      <c r="T40" s="0" t="n">
        <v>364.4</v>
      </c>
      <c r="U40" s="0" t="n">
        <v>368.6</v>
      </c>
      <c r="V40" s="0" t="n">
        <v>361.8</v>
      </c>
      <c r="W40" s="0" t="n">
        <v>368.7</v>
      </c>
      <c r="X40" s="6" t="n">
        <f aca="false">AVERAGE(D40:W40)</f>
        <v>369.12</v>
      </c>
      <c r="Y40" s="7" t="n">
        <f aca="false">_xlfn.STDEV.S(D40:W40)</f>
        <v>8.6288134208958</v>
      </c>
      <c r="Z40" s="7" t="n">
        <f aca="false">Y40/X40</f>
        <v>0.0233767160297351</v>
      </c>
    </row>
    <row r="41" customFormat="false" ht="16.75" hidden="false" customHeight="false" outlineLevel="0" collapsed="false">
      <c r="B41" s="4"/>
      <c r="C41" s="5" t="n">
        <v>25</v>
      </c>
      <c r="D41" s="0" t="n">
        <v>364.6</v>
      </c>
      <c r="E41" s="0" t="n">
        <v>366.4</v>
      </c>
      <c r="F41" s="0" t="n">
        <v>367</v>
      </c>
      <c r="G41" s="0" t="n">
        <v>373</v>
      </c>
      <c r="H41" s="0" t="n">
        <v>371.6</v>
      </c>
      <c r="I41" s="0" t="n">
        <v>367.9</v>
      </c>
      <c r="J41" s="0" t="n">
        <v>365.7</v>
      </c>
      <c r="K41" s="0" t="n">
        <v>361.3</v>
      </c>
      <c r="L41" s="0" t="n">
        <v>367.7</v>
      </c>
      <c r="M41" s="0" t="n">
        <v>366.6</v>
      </c>
      <c r="N41" s="0" t="n">
        <v>367.7</v>
      </c>
      <c r="O41" s="0" t="n">
        <v>366.9</v>
      </c>
      <c r="P41" s="0" t="n">
        <v>364.6</v>
      </c>
      <c r="Q41" s="0" t="n">
        <v>390.1</v>
      </c>
      <c r="R41" s="0" t="n">
        <v>366.5</v>
      </c>
      <c r="S41" s="0" t="n">
        <v>367</v>
      </c>
      <c r="T41" s="0" t="n">
        <v>368.5</v>
      </c>
      <c r="U41" s="0" t="n">
        <v>366.8</v>
      </c>
      <c r="V41" s="0" t="n">
        <v>366.6</v>
      </c>
      <c r="W41" s="0" t="n">
        <v>365.4</v>
      </c>
      <c r="X41" s="6" t="n">
        <f aca="false">AVERAGE(D41:W41)</f>
        <v>368.095</v>
      </c>
      <c r="Y41" s="7" t="n">
        <f aca="false">_xlfn.STDEV.S(D41:W41)</f>
        <v>5.71272586792901</v>
      </c>
      <c r="Z41" s="7" t="n">
        <f aca="false">Y41/X41</f>
        <v>0.0155197051520097</v>
      </c>
    </row>
    <row r="42" customFormat="false" ht="16.75" hidden="false" customHeight="false" outlineLevel="0" collapsed="false">
      <c r="B42" s="4"/>
      <c r="C42" s="5" t="n">
        <v>38</v>
      </c>
      <c r="D42" s="0" t="n">
        <v>367.7</v>
      </c>
      <c r="E42" s="0" t="n">
        <v>366.5</v>
      </c>
      <c r="F42" s="0" t="n">
        <v>371.5</v>
      </c>
      <c r="G42" s="0" t="n">
        <v>367.1</v>
      </c>
      <c r="H42" s="0" t="n">
        <v>369.7</v>
      </c>
      <c r="I42" s="0" t="n">
        <v>365.4</v>
      </c>
      <c r="J42" s="0" t="n">
        <v>361.5</v>
      </c>
      <c r="K42" s="0" t="n">
        <v>363.5</v>
      </c>
      <c r="L42" s="0" t="n">
        <v>362.6</v>
      </c>
      <c r="M42" s="0" t="n">
        <v>365.7</v>
      </c>
      <c r="N42" s="0" t="n">
        <v>357.8</v>
      </c>
      <c r="O42" s="0" t="n">
        <v>364.1</v>
      </c>
      <c r="P42" s="0" t="n">
        <v>364.8</v>
      </c>
      <c r="Q42" s="0" t="n">
        <v>363.9</v>
      </c>
      <c r="R42" s="0" t="n">
        <v>367.5</v>
      </c>
      <c r="S42" s="0" t="n">
        <v>361.8</v>
      </c>
      <c r="T42" s="0" t="n">
        <v>363.7</v>
      </c>
      <c r="U42" s="0" t="n">
        <v>362.4</v>
      </c>
      <c r="V42" s="0" t="n">
        <v>366.3</v>
      </c>
      <c r="W42" s="0" t="n">
        <v>364.4</v>
      </c>
      <c r="X42" s="6" t="n">
        <f aca="false">AVERAGE(D42:W42)</f>
        <v>364.895</v>
      </c>
      <c r="Y42" s="7" t="n">
        <f aca="false">_xlfn.STDEV.S(D42:W42)</f>
        <v>3.07681910249427</v>
      </c>
      <c r="Z42" s="7" t="n">
        <f aca="false">Y42/X42</f>
        <v>0.00843206703981769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356.9</v>
      </c>
      <c r="E43" s="0" t="n">
        <v>355.8</v>
      </c>
      <c r="F43" s="0" t="n">
        <v>359.4</v>
      </c>
      <c r="G43" s="0" t="n">
        <v>352.8</v>
      </c>
      <c r="H43" s="0" t="n">
        <v>352.7</v>
      </c>
      <c r="I43" s="0" t="n">
        <v>355.2</v>
      </c>
      <c r="J43" s="0" t="n">
        <v>351</v>
      </c>
      <c r="K43" s="0" t="n">
        <v>355.9</v>
      </c>
      <c r="L43" s="0" t="n">
        <v>355.2</v>
      </c>
      <c r="M43" s="0" t="n">
        <v>351.3</v>
      </c>
      <c r="N43" s="0" t="n">
        <v>350.1</v>
      </c>
      <c r="O43" s="0" t="n">
        <v>347.4</v>
      </c>
      <c r="P43" s="0" t="n">
        <v>354.3</v>
      </c>
      <c r="Q43" s="0" t="n">
        <v>360.2</v>
      </c>
      <c r="R43" s="0" t="n">
        <v>365.9</v>
      </c>
      <c r="S43" s="0" t="n">
        <v>350.8</v>
      </c>
      <c r="T43" s="0" t="n">
        <v>348.9</v>
      </c>
      <c r="U43" s="0" t="n">
        <v>351.3</v>
      </c>
      <c r="V43" s="0" t="n">
        <v>351.8</v>
      </c>
      <c r="W43" s="0" t="n">
        <v>356.6</v>
      </c>
      <c r="X43" s="6" t="n">
        <f aca="false">AVERAGE(D43:W43)</f>
        <v>354.175</v>
      </c>
      <c r="Y43" s="7" t="n">
        <f aca="false">_xlfn.STDEV.S(D43:W43)</f>
        <v>4.35380958411559</v>
      </c>
      <c r="Z43" s="7" t="n">
        <f aca="false">Y43/X43</f>
        <v>0.0122928201711459</v>
      </c>
    </row>
    <row r="44" customFormat="false" ht="16.75" hidden="false" customHeight="false" outlineLevel="0" collapsed="false">
      <c r="B44" s="4"/>
      <c r="C44" s="5" t="n">
        <v>63</v>
      </c>
      <c r="D44" s="0" t="n">
        <v>353.2</v>
      </c>
      <c r="E44" s="0" t="n">
        <v>351.3</v>
      </c>
      <c r="F44" s="0" t="n">
        <v>350.8</v>
      </c>
      <c r="G44" s="0" t="n">
        <v>352.8</v>
      </c>
      <c r="H44" s="0" t="n">
        <v>357.8</v>
      </c>
      <c r="I44" s="0" t="n">
        <v>349</v>
      </c>
      <c r="J44" s="0" t="n">
        <v>359.3</v>
      </c>
      <c r="K44" s="0" t="n">
        <v>355.8</v>
      </c>
      <c r="L44" s="0" t="n">
        <v>358.6</v>
      </c>
      <c r="M44" s="0" t="n">
        <v>352.7</v>
      </c>
      <c r="N44" s="0" t="n">
        <v>357.4</v>
      </c>
      <c r="O44" s="0" t="n">
        <v>348</v>
      </c>
      <c r="P44" s="0" t="n">
        <v>352.9</v>
      </c>
      <c r="Q44" s="0" t="n">
        <v>358.2</v>
      </c>
      <c r="R44" s="0" t="n">
        <v>355</v>
      </c>
      <c r="S44" s="0" t="n">
        <v>348.1</v>
      </c>
      <c r="T44" s="0" t="n">
        <v>372.5</v>
      </c>
      <c r="U44" s="0" t="n">
        <v>357.3</v>
      </c>
      <c r="V44" s="0" t="n">
        <v>365.1</v>
      </c>
      <c r="W44" s="0" t="n">
        <v>356.7</v>
      </c>
      <c r="X44" s="6" t="n">
        <f aca="false">AVERAGE(D44:W44)</f>
        <v>355.625</v>
      </c>
      <c r="Y44" s="7" t="n">
        <f aca="false">_xlfn.STDEV.S(D44:W44)</f>
        <v>5.83220415136147</v>
      </c>
      <c r="Z44" s="7" t="n">
        <f aca="false">Y44/X44</f>
        <v>0.0163998710758846</v>
      </c>
    </row>
    <row r="45" customFormat="false" ht="16.75" hidden="false" customHeight="false" outlineLevel="0" collapsed="false">
      <c r="B45" s="4"/>
      <c r="C45" s="5" t="n">
        <v>93</v>
      </c>
      <c r="D45" s="0" t="n">
        <v>364.8</v>
      </c>
      <c r="E45" s="0" t="n">
        <v>361.8</v>
      </c>
      <c r="F45" s="0" t="n">
        <v>363.6</v>
      </c>
      <c r="G45" s="0" t="n">
        <v>361.4</v>
      </c>
      <c r="H45" s="0" t="n">
        <v>362.8</v>
      </c>
      <c r="I45" s="0" t="n">
        <v>360.4</v>
      </c>
      <c r="J45" s="0" t="n">
        <v>358.4</v>
      </c>
      <c r="K45" s="0" t="n">
        <v>352.8</v>
      </c>
      <c r="L45" s="0" t="n">
        <v>357.5</v>
      </c>
      <c r="M45" s="0" t="n">
        <v>358.6</v>
      </c>
      <c r="N45" s="0" t="n">
        <v>356.5</v>
      </c>
      <c r="O45" s="0" t="n">
        <v>363.4</v>
      </c>
      <c r="P45" s="0" t="n">
        <v>360.5</v>
      </c>
      <c r="Q45" s="0" t="n">
        <v>355</v>
      </c>
      <c r="R45" s="0" t="n">
        <v>360.9</v>
      </c>
      <c r="S45" s="0" t="n">
        <v>358</v>
      </c>
      <c r="T45" s="0" t="n">
        <v>356.7</v>
      </c>
      <c r="U45" s="0" t="n">
        <v>359.5</v>
      </c>
      <c r="V45" s="0" t="n">
        <v>360.2</v>
      </c>
      <c r="W45" s="0" t="n">
        <v>363.4</v>
      </c>
      <c r="X45" s="6" t="n">
        <f aca="false">AVERAGE(D45:W45)</f>
        <v>359.81</v>
      </c>
      <c r="Y45" s="7" t="n">
        <f aca="false">_xlfn.STDEV.S(D45:W45)</f>
        <v>3.14306253600897</v>
      </c>
      <c r="Z45" s="7" t="n">
        <f aca="false">Y45/X45</f>
        <v>0.00873533958480579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320.8</v>
      </c>
      <c r="E46" s="0" t="n">
        <v>311.2</v>
      </c>
      <c r="F46" s="0" t="n">
        <v>307.3</v>
      </c>
      <c r="G46" s="0" t="n">
        <v>321.4</v>
      </c>
      <c r="H46" s="0" t="n">
        <v>303.2</v>
      </c>
      <c r="I46" s="0" t="n">
        <v>314.5</v>
      </c>
      <c r="J46" s="0" t="n">
        <v>321.1</v>
      </c>
      <c r="K46" s="0" t="n">
        <v>305.7</v>
      </c>
      <c r="L46" s="0" t="n">
        <v>309.8</v>
      </c>
      <c r="M46" s="0" t="n">
        <v>308</v>
      </c>
      <c r="N46" s="0" t="n">
        <v>328.7</v>
      </c>
      <c r="O46" s="0" t="n">
        <v>318.6</v>
      </c>
      <c r="P46" s="0" t="n">
        <v>308.6</v>
      </c>
      <c r="Q46" s="0" t="n">
        <v>308.1</v>
      </c>
      <c r="R46" s="0" t="n">
        <v>311</v>
      </c>
      <c r="S46" s="0" t="n">
        <v>306.1</v>
      </c>
      <c r="T46" s="0" t="n">
        <v>302.4</v>
      </c>
      <c r="U46" s="0" t="n">
        <v>305.2</v>
      </c>
      <c r="V46" s="0" t="n">
        <v>324.7</v>
      </c>
      <c r="W46" s="0" t="n">
        <v>342.9</v>
      </c>
      <c r="X46" s="6" t="n">
        <f aca="false">AVERAGE(D46:W46)</f>
        <v>313.965</v>
      </c>
      <c r="Y46" s="7" t="n">
        <f aca="false">_xlfn.STDEV.S(D46:W46)</f>
        <v>10.2028517685266</v>
      </c>
      <c r="Z46" s="7" t="n">
        <f aca="false">Y46/X46</f>
        <v>0.0324967807511238</v>
      </c>
    </row>
    <row r="47" customFormat="false" ht="16.75" hidden="false" customHeight="false" outlineLevel="0" collapsed="false">
      <c r="B47" s="4"/>
      <c r="C47" s="5" t="n">
        <v>38</v>
      </c>
      <c r="D47" s="0" t="n">
        <v>319.4</v>
      </c>
      <c r="E47" s="0" t="n">
        <v>320.8</v>
      </c>
      <c r="F47" s="0" t="n">
        <v>317.7</v>
      </c>
      <c r="G47" s="0" t="n">
        <v>319.6</v>
      </c>
      <c r="H47" s="0" t="n">
        <v>342.3</v>
      </c>
      <c r="I47" s="0" t="n">
        <v>318.2</v>
      </c>
      <c r="J47" s="0" t="n">
        <v>323.6</v>
      </c>
      <c r="K47" s="0" t="n">
        <v>332</v>
      </c>
      <c r="L47" s="0" t="n">
        <v>327.7</v>
      </c>
      <c r="M47" s="0" t="n">
        <v>320.9</v>
      </c>
      <c r="N47" s="0" t="n">
        <v>316.9</v>
      </c>
      <c r="O47" s="0" t="n">
        <v>316.7</v>
      </c>
      <c r="P47" s="0" t="n">
        <v>331.6</v>
      </c>
      <c r="Q47" s="0" t="n">
        <v>328.5</v>
      </c>
      <c r="R47" s="0" t="n">
        <v>325.4</v>
      </c>
      <c r="S47" s="0" t="n">
        <v>323.8</v>
      </c>
      <c r="T47" s="0" t="n">
        <v>321.2</v>
      </c>
      <c r="U47" s="0" t="n">
        <v>320.4</v>
      </c>
      <c r="V47" s="0" t="n">
        <v>318.7</v>
      </c>
      <c r="W47" s="0" t="n">
        <v>317.7</v>
      </c>
      <c r="X47" s="6" t="n">
        <f aca="false">AVERAGE(D47:W47)</f>
        <v>323.155</v>
      </c>
      <c r="Y47" s="7" t="n">
        <f aca="false">_xlfn.STDEV.S(D47:W47)</f>
        <v>6.50687692894381</v>
      </c>
      <c r="Z47" s="7" t="n">
        <f aca="false">Y47/X47</f>
        <v>0.0201354672802333</v>
      </c>
    </row>
    <row r="48" customFormat="false" ht="16.75" hidden="false" customHeight="false" outlineLevel="0" collapsed="false">
      <c r="B48" s="4"/>
      <c r="C48" s="5" t="n">
        <v>50</v>
      </c>
      <c r="D48" s="0" t="n">
        <v>318.5</v>
      </c>
      <c r="E48" s="0" t="n">
        <v>330.5</v>
      </c>
      <c r="F48" s="0" t="n">
        <v>319.7</v>
      </c>
      <c r="G48" s="0" t="n">
        <v>326.1</v>
      </c>
      <c r="H48" s="0" t="n">
        <v>323</v>
      </c>
      <c r="I48" s="0" t="n">
        <v>314.8</v>
      </c>
      <c r="J48" s="0" t="n">
        <v>321.5</v>
      </c>
      <c r="K48" s="0" t="n">
        <v>331.9</v>
      </c>
      <c r="L48" s="0" t="n">
        <v>328.6</v>
      </c>
      <c r="M48" s="0" t="n">
        <v>322.4</v>
      </c>
      <c r="N48" s="0" t="n">
        <v>328.7</v>
      </c>
      <c r="O48" s="0" t="n">
        <v>329.1</v>
      </c>
      <c r="P48" s="0" t="n">
        <v>321.6</v>
      </c>
      <c r="Q48" s="0" t="n">
        <v>324.2</v>
      </c>
      <c r="R48" s="0" t="n">
        <v>326.1</v>
      </c>
      <c r="S48" s="0" t="n">
        <v>318.1</v>
      </c>
      <c r="T48" s="0" t="n">
        <v>338.9</v>
      </c>
      <c r="U48" s="0" t="n">
        <v>324.7</v>
      </c>
      <c r="V48" s="0" t="n">
        <v>332.2</v>
      </c>
      <c r="W48" s="0" t="n">
        <v>325.4</v>
      </c>
      <c r="X48" s="6" t="n">
        <f aca="false">AVERAGE(D48:W48)</f>
        <v>325.3</v>
      </c>
      <c r="Y48" s="7" t="n">
        <f aca="false">_xlfn.STDEV.S(D48:W48)</f>
        <v>5.7328233147285</v>
      </c>
      <c r="Z48" s="7" t="n">
        <f aca="false">Y48/X48</f>
        <v>0.0176231887941239</v>
      </c>
    </row>
    <row r="49" customFormat="false" ht="16.75" hidden="false" customHeight="false" outlineLevel="0" collapsed="false">
      <c r="B49" s="4"/>
      <c r="C49" s="5" t="n">
        <v>75</v>
      </c>
      <c r="D49" s="0" t="n">
        <v>338.3</v>
      </c>
      <c r="E49" s="0" t="n">
        <v>340.4</v>
      </c>
      <c r="F49" s="0" t="n">
        <v>336.4</v>
      </c>
      <c r="G49" s="0" t="n">
        <v>338.4</v>
      </c>
      <c r="H49" s="0" t="n">
        <v>350.4</v>
      </c>
      <c r="I49" s="0" t="n">
        <v>336.3</v>
      </c>
      <c r="J49" s="0" t="n">
        <v>333.5</v>
      </c>
      <c r="K49" s="0" t="n">
        <v>328.3</v>
      </c>
      <c r="L49" s="0" t="n">
        <v>325.4</v>
      </c>
      <c r="M49" s="0" t="n">
        <v>346.9</v>
      </c>
      <c r="N49" s="0" t="n">
        <v>324.3</v>
      </c>
      <c r="O49" s="0" t="n">
        <v>350.1</v>
      </c>
      <c r="P49" s="0" t="n">
        <v>329.4</v>
      </c>
      <c r="Q49" s="0" t="n">
        <v>332.8</v>
      </c>
      <c r="R49" s="0" t="n">
        <v>330.3</v>
      </c>
      <c r="S49" s="0" t="n">
        <v>330.3</v>
      </c>
      <c r="T49" s="0" t="n">
        <v>335.3</v>
      </c>
      <c r="U49" s="0" t="n">
        <v>336.3</v>
      </c>
      <c r="V49" s="0" t="n">
        <v>339.2</v>
      </c>
      <c r="W49" s="0" t="n">
        <v>332.9</v>
      </c>
      <c r="X49" s="6" t="n">
        <f aca="false">AVERAGE(D49:W49)</f>
        <v>335.76</v>
      </c>
      <c r="Y49" s="7" t="n">
        <f aca="false">_xlfn.STDEV.S(D49:W49)</f>
        <v>7.28548665426502</v>
      </c>
      <c r="Z49" s="7" t="n">
        <f aca="false">Y49/X49</f>
        <v>0.0216984949197791</v>
      </c>
    </row>
    <row r="50" customFormat="false" ht="16.75" hidden="false" customHeight="false" outlineLevel="0" collapsed="false">
      <c r="B50" s="4"/>
      <c r="C50" s="5" t="n">
        <v>100</v>
      </c>
      <c r="D50" s="0" t="n">
        <v>333.7</v>
      </c>
      <c r="E50" s="0" t="n">
        <v>331.3</v>
      </c>
      <c r="F50" s="0" t="n">
        <v>319.9</v>
      </c>
      <c r="G50" s="0" t="n">
        <v>332.6</v>
      </c>
      <c r="H50" s="0" t="n">
        <v>326.2</v>
      </c>
      <c r="I50" s="0" t="n">
        <v>320.6</v>
      </c>
      <c r="J50" s="0" t="n">
        <v>328.1</v>
      </c>
      <c r="K50" s="0" t="n">
        <v>323.7</v>
      </c>
      <c r="L50" s="0" t="n">
        <v>329.1</v>
      </c>
      <c r="M50" s="0" t="n">
        <v>327.6</v>
      </c>
      <c r="N50" s="0" t="n">
        <v>345.1</v>
      </c>
      <c r="O50" s="0" t="n">
        <v>343.7</v>
      </c>
      <c r="P50" s="0" t="n">
        <v>327.5</v>
      </c>
      <c r="Q50" s="0" t="n">
        <v>327.4</v>
      </c>
      <c r="R50" s="0" t="n">
        <v>316.4</v>
      </c>
      <c r="S50" s="0" t="n">
        <v>326.6</v>
      </c>
      <c r="T50" s="0" t="n">
        <v>316.9</v>
      </c>
      <c r="U50" s="0" t="n">
        <v>316</v>
      </c>
      <c r="V50" s="0" t="n">
        <v>327</v>
      </c>
      <c r="W50" s="0" t="n">
        <v>328.6</v>
      </c>
      <c r="X50" s="6" t="n">
        <f aca="false">AVERAGE(D50:W50)</f>
        <v>327.4</v>
      </c>
      <c r="Y50" s="7" t="n">
        <f aca="false">_xlfn.STDEV.S(D50:W50)</f>
        <v>7.76435851554363</v>
      </c>
      <c r="Z50" s="7" t="n">
        <f aca="false">Y50/X50</f>
        <v>0.0237152062172988</v>
      </c>
    </row>
    <row r="51" customFormat="false" ht="16.75" hidden="false" customHeight="false" outlineLevel="0" collapsed="false">
      <c r="B51" s="4"/>
      <c r="C51" s="5" t="n">
        <v>150</v>
      </c>
      <c r="D51" s="0" t="n">
        <v>335.7</v>
      </c>
      <c r="E51" s="0" t="n">
        <v>333.6</v>
      </c>
      <c r="F51" s="0" t="n">
        <v>330.2</v>
      </c>
      <c r="G51" s="0" t="n">
        <v>341.7</v>
      </c>
      <c r="H51" s="0" t="n">
        <v>353.1</v>
      </c>
      <c r="I51" s="0" t="n">
        <v>336.6</v>
      </c>
      <c r="J51" s="0" t="n">
        <v>347.8</v>
      </c>
      <c r="K51" s="0" t="n">
        <v>334.6</v>
      </c>
      <c r="L51" s="0" t="n">
        <v>340.4</v>
      </c>
      <c r="M51" s="0" t="n">
        <v>344.8</v>
      </c>
      <c r="N51" s="0" t="n">
        <v>330.2</v>
      </c>
      <c r="O51" s="0" t="n">
        <v>333.3</v>
      </c>
      <c r="P51" s="0" t="n">
        <v>330.1</v>
      </c>
      <c r="Q51" s="0" t="n">
        <v>339.7</v>
      </c>
      <c r="R51" s="0" t="n">
        <v>337</v>
      </c>
      <c r="S51" s="0" t="n">
        <v>334.5</v>
      </c>
      <c r="T51" s="0" t="n">
        <v>343.3</v>
      </c>
      <c r="U51" s="0" t="n">
        <v>321.1</v>
      </c>
      <c r="V51" s="0" t="n">
        <v>348.4</v>
      </c>
      <c r="W51" s="0" t="n">
        <v>319.2</v>
      </c>
      <c r="X51" s="6" t="n">
        <f aca="false">AVERAGE(D51:W51)</f>
        <v>336.765</v>
      </c>
      <c r="Y51" s="7" t="n">
        <f aca="false">_xlfn.STDEV.S(D51:W51)</f>
        <v>8.56868687354382</v>
      </c>
      <c r="Z51" s="7" t="n">
        <f aca="false">Y51/X51</f>
        <v>0.0254441134724328</v>
      </c>
    </row>
    <row r="52" customFormat="false" ht="15" hidden="false" customHeight="true" outlineLevel="0" collapsed="false">
      <c r="A52" s="1" t="s">
        <v>38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370.5</v>
      </c>
      <c r="E57" s="0" t="n">
        <v>374.8</v>
      </c>
      <c r="F57" s="0" t="n">
        <v>373.1</v>
      </c>
      <c r="G57" s="0" t="n">
        <v>371</v>
      </c>
      <c r="H57" s="0" t="n">
        <v>370.5</v>
      </c>
      <c r="I57" s="0" t="n">
        <v>370.7</v>
      </c>
      <c r="J57" s="0" t="n">
        <v>369.6</v>
      </c>
      <c r="K57" s="0" t="n">
        <v>372.2</v>
      </c>
      <c r="L57" s="0" t="n">
        <v>371.4</v>
      </c>
      <c r="M57" s="0" t="n">
        <v>374.2</v>
      </c>
      <c r="N57" s="0" t="n">
        <v>372.4</v>
      </c>
      <c r="O57" s="0" t="n">
        <v>369.4</v>
      </c>
      <c r="P57" s="0" t="n">
        <v>371</v>
      </c>
      <c r="Q57" s="0" t="n">
        <v>372.4</v>
      </c>
      <c r="R57" s="0" t="n">
        <v>379.6</v>
      </c>
      <c r="S57" s="0" t="n">
        <v>371.4</v>
      </c>
      <c r="T57" s="0" t="n">
        <v>369.2</v>
      </c>
      <c r="U57" s="0" t="n">
        <v>370.9</v>
      </c>
      <c r="V57" s="0" t="n">
        <v>370.4</v>
      </c>
      <c r="W57" s="0" t="n">
        <v>368.6</v>
      </c>
      <c r="X57" s="6" t="n">
        <f aca="false">AVERAGE(D57:W57)</f>
        <v>371.665</v>
      </c>
      <c r="Y57" s="7" t="n">
        <f aca="false">_xlfn.STDEV.S(D57:W57)</f>
        <v>2.45341330437929</v>
      </c>
      <c r="Z57" s="7" t="n">
        <f aca="false">Y57/X57</f>
        <v>0.00660114163125203</v>
      </c>
    </row>
    <row r="58" customFormat="false" ht="16.75" hidden="false" customHeight="false" outlineLevel="0" collapsed="false">
      <c r="B58" s="4"/>
      <c r="C58" s="5" t="n">
        <v>25</v>
      </c>
      <c r="D58" s="0" t="n">
        <v>369.6</v>
      </c>
      <c r="E58" s="0" t="n">
        <v>371</v>
      </c>
      <c r="F58" s="0" t="n">
        <v>368.6</v>
      </c>
      <c r="G58" s="0" t="n">
        <v>397.7</v>
      </c>
      <c r="H58" s="0" t="n">
        <v>364.3</v>
      </c>
      <c r="I58" s="0" t="n">
        <v>368.7</v>
      </c>
      <c r="J58" s="0" t="n">
        <v>369.8</v>
      </c>
      <c r="K58" s="0" t="n">
        <v>370.9</v>
      </c>
      <c r="L58" s="0" t="n">
        <v>368.5</v>
      </c>
      <c r="M58" s="0" t="n">
        <v>370.5</v>
      </c>
      <c r="N58" s="0" t="n">
        <v>371.2</v>
      </c>
      <c r="O58" s="0" t="n">
        <v>368.8</v>
      </c>
      <c r="P58" s="0" t="n">
        <v>369.6</v>
      </c>
      <c r="Q58" s="0" t="n">
        <v>369.3</v>
      </c>
      <c r="R58" s="0" t="n">
        <v>367.3</v>
      </c>
      <c r="S58" s="0" t="n">
        <v>368.6</v>
      </c>
      <c r="T58" s="0" t="n">
        <v>368.8</v>
      </c>
      <c r="U58" s="0" t="n">
        <v>371.1</v>
      </c>
      <c r="V58" s="0" t="n">
        <v>387.1</v>
      </c>
      <c r="W58" s="0" t="n">
        <v>363.4</v>
      </c>
      <c r="X58" s="6" t="n">
        <f aca="false">AVERAGE(D58:W58)</f>
        <v>371.24</v>
      </c>
      <c r="Y58" s="7" t="n">
        <f aca="false">_xlfn.STDEV.S(D58:W58)</f>
        <v>7.70709857346152</v>
      </c>
      <c r="Z58" s="7" t="n">
        <f aca="false">Y58/X58</f>
        <v>0.0207604206805881</v>
      </c>
    </row>
    <row r="59" customFormat="false" ht="16.75" hidden="false" customHeight="false" outlineLevel="0" collapsed="false">
      <c r="B59" s="4"/>
      <c r="C59" s="5" t="n">
        <v>38</v>
      </c>
      <c r="D59" s="0" t="n">
        <v>376</v>
      </c>
      <c r="E59" s="0" t="n">
        <v>373.7</v>
      </c>
      <c r="F59" s="0" t="n">
        <v>374.5</v>
      </c>
      <c r="G59" s="0" t="n">
        <v>376.2</v>
      </c>
      <c r="H59" s="0" t="n">
        <v>375.8</v>
      </c>
      <c r="I59" s="0" t="n">
        <v>373.3</v>
      </c>
      <c r="J59" s="0" t="n">
        <v>372.4</v>
      </c>
      <c r="K59" s="0" t="n">
        <v>373.8</v>
      </c>
      <c r="L59" s="0" t="n">
        <v>371.8</v>
      </c>
      <c r="M59" s="0" t="n">
        <v>369</v>
      </c>
      <c r="N59" s="0" t="n">
        <v>375.2</v>
      </c>
      <c r="O59" s="0" t="n">
        <v>372.9</v>
      </c>
      <c r="P59" s="0" t="n">
        <v>374.2</v>
      </c>
      <c r="Q59" s="0" t="n">
        <v>374.4</v>
      </c>
      <c r="R59" s="0" t="n">
        <v>381.2</v>
      </c>
      <c r="S59" s="0" t="n">
        <v>373.5</v>
      </c>
      <c r="T59" s="0" t="n">
        <v>374.4</v>
      </c>
      <c r="U59" s="0" t="n">
        <v>376.3</v>
      </c>
      <c r="V59" s="0" t="n">
        <v>373.8</v>
      </c>
      <c r="W59" s="0" t="n">
        <v>372.7</v>
      </c>
      <c r="X59" s="6" t="n">
        <f aca="false">AVERAGE(D59:W59)</f>
        <v>374.255</v>
      </c>
      <c r="Y59" s="7" t="n">
        <f aca="false">_xlfn.STDEV.S(D59:W59)</f>
        <v>2.36386725960927</v>
      </c>
      <c r="Z59" s="7" t="n">
        <f aca="false">Y59/X59</f>
        <v>0.00631619419809827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353.7</v>
      </c>
      <c r="E60" s="0" t="n">
        <v>350.1</v>
      </c>
      <c r="F60" s="0" t="n">
        <v>358</v>
      </c>
      <c r="G60" s="0" t="n">
        <v>349.7</v>
      </c>
      <c r="H60" s="0" t="n">
        <v>350.9</v>
      </c>
      <c r="I60" s="0" t="n">
        <v>355.3</v>
      </c>
      <c r="J60" s="0" t="n">
        <v>353</v>
      </c>
      <c r="K60" s="0" t="n">
        <v>357.4</v>
      </c>
      <c r="L60" s="0" t="n">
        <v>358.2</v>
      </c>
      <c r="M60" s="0" t="n">
        <v>350.5</v>
      </c>
      <c r="N60" s="0" t="n">
        <v>347.6</v>
      </c>
      <c r="O60" s="0" t="n">
        <v>350.8</v>
      </c>
      <c r="P60" s="0" t="n">
        <v>353.3</v>
      </c>
      <c r="Q60" s="0" t="n">
        <v>350</v>
      </c>
      <c r="R60" s="0" t="n">
        <v>352.5</v>
      </c>
      <c r="S60" s="0" t="n">
        <v>355.8</v>
      </c>
      <c r="T60" s="0" t="n">
        <v>359.5</v>
      </c>
      <c r="U60" s="0" t="n">
        <v>350.2</v>
      </c>
      <c r="V60" s="0" t="n">
        <v>353.8</v>
      </c>
      <c r="W60" s="0" t="n">
        <v>360.3</v>
      </c>
      <c r="X60" s="6" t="n">
        <f aca="false">AVERAGE(D60:W60)</f>
        <v>353.53</v>
      </c>
      <c r="Y60" s="7" t="n">
        <f aca="false">_xlfn.STDEV.S(D60:W60)</f>
        <v>3.67582428994182</v>
      </c>
      <c r="Z60" s="7" t="n">
        <f aca="false">Y60/X60</f>
        <v>0.010397489010669</v>
      </c>
    </row>
    <row r="61" customFormat="false" ht="16.75" hidden="false" customHeight="false" outlineLevel="0" collapsed="false">
      <c r="B61" s="4"/>
      <c r="C61" s="5" t="n">
        <v>63</v>
      </c>
      <c r="D61" s="0" t="n">
        <v>360.5</v>
      </c>
      <c r="E61" s="0" t="n">
        <v>359.6</v>
      </c>
      <c r="F61" s="0" t="n">
        <v>362.8</v>
      </c>
      <c r="G61" s="0" t="n">
        <v>359.3</v>
      </c>
      <c r="H61" s="0" t="n">
        <v>358.8</v>
      </c>
      <c r="I61" s="0" t="n">
        <v>362.2</v>
      </c>
      <c r="J61" s="0" t="n">
        <v>367.2</v>
      </c>
      <c r="K61" s="0" t="n">
        <v>358</v>
      </c>
      <c r="L61" s="0" t="n">
        <v>358</v>
      </c>
      <c r="M61" s="0" t="n">
        <v>359.6</v>
      </c>
      <c r="N61" s="0" t="n">
        <v>361.5</v>
      </c>
      <c r="O61" s="0" t="n">
        <v>359.1</v>
      </c>
      <c r="P61" s="0" t="n">
        <v>357.9</v>
      </c>
      <c r="Q61" s="0" t="n">
        <v>362.4</v>
      </c>
      <c r="R61" s="0" t="n">
        <v>367.6</v>
      </c>
      <c r="S61" s="0" t="n">
        <v>360.6</v>
      </c>
      <c r="T61" s="0" t="n">
        <v>359.3</v>
      </c>
      <c r="U61" s="0" t="n">
        <v>355.3</v>
      </c>
      <c r="V61" s="0" t="n">
        <v>358.1</v>
      </c>
      <c r="W61" s="0" t="n">
        <v>358.8</v>
      </c>
      <c r="X61" s="6" t="n">
        <f aca="false">AVERAGE(D61:W61)</f>
        <v>360.33</v>
      </c>
      <c r="Y61" s="7" t="n">
        <f aca="false">_xlfn.STDEV.S(D61:W61)</f>
        <v>3.00720188179888</v>
      </c>
      <c r="Z61" s="7" t="n">
        <f aca="false">Y61/X61</f>
        <v>0.00834568834623506</v>
      </c>
    </row>
    <row r="62" customFormat="false" ht="16.75" hidden="false" customHeight="false" outlineLevel="0" collapsed="false">
      <c r="B62" s="4"/>
      <c r="C62" s="5" t="n">
        <v>93</v>
      </c>
      <c r="D62" s="0" t="n">
        <v>370.1</v>
      </c>
      <c r="E62" s="0" t="n">
        <v>367.4</v>
      </c>
      <c r="F62" s="0" t="n">
        <v>368.2</v>
      </c>
      <c r="G62" s="0" t="n">
        <v>364.2</v>
      </c>
      <c r="H62" s="0" t="n">
        <v>368.2</v>
      </c>
      <c r="I62" s="0" t="n">
        <v>365.2</v>
      </c>
      <c r="J62" s="0" t="n">
        <v>370.3</v>
      </c>
      <c r="K62" s="0" t="n">
        <v>363.7</v>
      </c>
      <c r="L62" s="0" t="n">
        <v>366.8</v>
      </c>
      <c r="M62" s="0" t="n">
        <v>365.5</v>
      </c>
      <c r="N62" s="0" t="n">
        <v>366.7</v>
      </c>
      <c r="O62" s="0" t="n">
        <v>370</v>
      </c>
      <c r="P62" s="0" t="n">
        <v>366.1</v>
      </c>
      <c r="Q62" s="0" t="n">
        <v>362.5</v>
      </c>
      <c r="R62" s="0" t="n">
        <v>361.6</v>
      </c>
      <c r="S62" s="0" t="n">
        <v>368.8</v>
      </c>
      <c r="T62" s="0" t="n">
        <v>372.2</v>
      </c>
      <c r="U62" s="0" t="n">
        <v>366.6</v>
      </c>
      <c r="V62" s="0" t="n">
        <v>362.4</v>
      </c>
      <c r="W62" s="0" t="n">
        <v>374.7</v>
      </c>
      <c r="X62" s="6" t="n">
        <f aca="false">AVERAGE(D62:W62)</f>
        <v>367.06</v>
      </c>
      <c r="Y62" s="7" t="n">
        <f aca="false">_xlfn.STDEV.S(D62:W62)</f>
        <v>3.38672330385021</v>
      </c>
      <c r="Z62" s="7" t="n">
        <f aca="false">Y62/X62</f>
        <v>0.00922662045401355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323.7</v>
      </c>
      <c r="E63" s="0" t="n">
        <v>314.5</v>
      </c>
      <c r="F63" s="0" t="n">
        <v>311</v>
      </c>
      <c r="G63" s="0" t="n">
        <v>315.3</v>
      </c>
      <c r="H63" s="0" t="n">
        <v>313</v>
      </c>
      <c r="I63" s="0" t="n">
        <v>311.1</v>
      </c>
      <c r="J63" s="0" t="n">
        <v>309.1</v>
      </c>
      <c r="K63" s="0" t="n">
        <v>322.5</v>
      </c>
      <c r="L63" s="0" t="n">
        <v>310.2</v>
      </c>
      <c r="M63" s="0" t="n">
        <v>311.6</v>
      </c>
      <c r="N63" s="0" t="n">
        <v>311.6</v>
      </c>
      <c r="O63" s="0" t="n">
        <v>318.8</v>
      </c>
      <c r="P63" s="0" t="n">
        <v>312.8</v>
      </c>
      <c r="Q63" s="0" t="n">
        <v>306.7</v>
      </c>
      <c r="R63" s="0" t="n">
        <v>314.3</v>
      </c>
      <c r="S63" s="0" t="n">
        <v>313.2</v>
      </c>
      <c r="T63" s="0" t="n">
        <v>326</v>
      </c>
      <c r="U63" s="0" t="n">
        <v>312.6</v>
      </c>
      <c r="V63" s="0" t="n">
        <v>308.7</v>
      </c>
      <c r="W63" s="0" t="n">
        <v>318</v>
      </c>
      <c r="X63" s="6" t="n">
        <f aca="false">AVERAGE(D63:W63)</f>
        <v>314.235</v>
      </c>
      <c r="Y63" s="7" t="n">
        <f aca="false">_xlfn.STDEV.S(D63:W63)</f>
        <v>5.15090947513666</v>
      </c>
      <c r="Z63" s="7" t="n">
        <f aca="false">Y63/X63</f>
        <v>0.0163919024778801</v>
      </c>
    </row>
    <row r="64" customFormat="false" ht="16.75" hidden="false" customHeight="false" outlineLevel="0" collapsed="false">
      <c r="B64" s="4"/>
      <c r="C64" s="5" t="n">
        <v>38</v>
      </c>
      <c r="D64" s="0" t="n">
        <v>315.4</v>
      </c>
      <c r="E64" s="0" t="n">
        <v>317.4</v>
      </c>
      <c r="F64" s="0" t="n">
        <v>319</v>
      </c>
      <c r="G64" s="0" t="n">
        <v>339.1</v>
      </c>
      <c r="H64" s="0" t="n">
        <v>321</v>
      </c>
      <c r="I64" s="0" t="n">
        <v>317</v>
      </c>
      <c r="J64" s="0" t="n">
        <v>324.1</v>
      </c>
      <c r="K64" s="0" t="n">
        <v>371.3</v>
      </c>
      <c r="L64" s="0" t="n">
        <v>324.1</v>
      </c>
      <c r="M64" s="0" t="n">
        <v>316.4</v>
      </c>
      <c r="N64" s="0" t="n">
        <v>327.4</v>
      </c>
      <c r="O64" s="0" t="n">
        <v>329.6</v>
      </c>
      <c r="P64" s="0" t="n">
        <v>322.1</v>
      </c>
      <c r="Q64" s="0" t="n">
        <v>323.4</v>
      </c>
      <c r="R64" s="0" t="n">
        <v>325.6</v>
      </c>
      <c r="S64" s="0" t="n">
        <v>321.5</v>
      </c>
      <c r="T64" s="0" t="n">
        <v>324</v>
      </c>
      <c r="U64" s="0" t="n">
        <v>338.3</v>
      </c>
      <c r="V64" s="0" t="n">
        <v>321.9</v>
      </c>
      <c r="W64" s="0" t="n">
        <v>325.1</v>
      </c>
      <c r="X64" s="6" t="n">
        <f aca="false">AVERAGE(D64:W64)</f>
        <v>326.185</v>
      </c>
      <c r="Y64" s="7" t="n">
        <f aca="false">_xlfn.STDEV.S(D64:W64)</f>
        <v>12.3414694595519</v>
      </c>
      <c r="Z64" s="7" t="n">
        <f aca="false">Y64/X64</f>
        <v>0.037835797046314</v>
      </c>
    </row>
    <row r="65" customFormat="false" ht="16.75" hidden="false" customHeight="false" outlineLevel="0" collapsed="false">
      <c r="B65" s="4"/>
      <c r="C65" s="5" t="n">
        <v>50</v>
      </c>
      <c r="D65" s="0" t="n">
        <v>325.7</v>
      </c>
      <c r="E65" s="0" t="n">
        <v>331.8</v>
      </c>
      <c r="F65" s="0" t="n">
        <v>326.1</v>
      </c>
      <c r="G65" s="0" t="n">
        <v>326.9</v>
      </c>
      <c r="H65" s="0" t="n">
        <v>337</v>
      </c>
      <c r="I65" s="0" t="n">
        <v>327.9</v>
      </c>
      <c r="J65" s="0" t="n">
        <v>323.7</v>
      </c>
      <c r="K65" s="0" t="n">
        <v>335.9</v>
      </c>
      <c r="L65" s="0" t="n">
        <v>328.8</v>
      </c>
      <c r="M65" s="0" t="n">
        <v>317.5</v>
      </c>
      <c r="N65" s="0" t="n">
        <v>337.9</v>
      </c>
      <c r="O65" s="0" t="n">
        <v>326.3</v>
      </c>
      <c r="P65" s="0" t="n">
        <v>331.5</v>
      </c>
      <c r="Q65" s="0" t="n">
        <v>328</v>
      </c>
      <c r="R65" s="0" t="n">
        <v>328</v>
      </c>
      <c r="S65" s="0" t="n">
        <v>339.7</v>
      </c>
      <c r="T65" s="0" t="n">
        <v>330.5</v>
      </c>
      <c r="U65" s="0" t="n">
        <v>328.5</v>
      </c>
      <c r="V65" s="0" t="n">
        <v>333.1</v>
      </c>
      <c r="W65" s="0" t="n">
        <v>329.1</v>
      </c>
      <c r="X65" s="6" t="n">
        <f aca="false">AVERAGE(D65:W65)</f>
        <v>329.695</v>
      </c>
      <c r="Y65" s="7" t="n">
        <f aca="false">_xlfn.STDEV.S(D65:W65)</f>
        <v>5.24980952035405</v>
      </c>
      <c r="Z65" s="7" t="n">
        <f aca="false">Y65/X65</f>
        <v>0.0159232306233156</v>
      </c>
    </row>
    <row r="66" customFormat="false" ht="16.75" hidden="false" customHeight="false" outlineLevel="0" collapsed="false">
      <c r="B66" s="4"/>
      <c r="C66" s="5" t="n">
        <v>75</v>
      </c>
      <c r="D66" s="0" t="n">
        <v>334.7</v>
      </c>
      <c r="E66" s="0" t="n">
        <v>331.3</v>
      </c>
      <c r="F66" s="0" t="n">
        <v>327.9</v>
      </c>
      <c r="G66" s="0" t="n">
        <v>337.3</v>
      </c>
      <c r="H66" s="0" t="n">
        <v>326.9</v>
      </c>
      <c r="I66" s="0" t="n">
        <v>341.9</v>
      </c>
      <c r="J66" s="0" t="n">
        <v>331.6</v>
      </c>
      <c r="K66" s="0" t="n">
        <v>330.2</v>
      </c>
      <c r="L66" s="0" t="n">
        <v>328.5</v>
      </c>
      <c r="M66" s="0" t="n">
        <v>335.8</v>
      </c>
      <c r="N66" s="0" t="n">
        <v>336.4</v>
      </c>
      <c r="O66" s="0" t="n">
        <v>336.3</v>
      </c>
      <c r="P66" s="0" t="n">
        <v>330.8</v>
      </c>
      <c r="Q66" s="0" t="n">
        <v>331.5</v>
      </c>
      <c r="R66" s="0" t="n">
        <v>341.6</v>
      </c>
      <c r="S66" s="0" t="n">
        <v>336.9</v>
      </c>
      <c r="T66" s="0" t="n">
        <v>335</v>
      </c>
      <c r="U66" s="0" t="n">
        <v>327.3</v>
      </c>
      <c r="V66" s="0" t="n">
        <v>345.5</v>
      </c>
      <c r="W66" s="0" t="n">
        <v>333.6</v>
      </c>
      <c r="X66" s="6" t="n">
        <f aca="false">AVERAGE(D66:W66)</f>
        <v>334.05</v>
      </c>
      <c r="Y66" s="7" t="n">
        <f aca="false">_xlfn.STDEV.S(D66:W66)</f>
        <v>5.1008255265821</v>
      </c>
      <c r="Z66" s="7" t="n">
        <f aca="false">Y66/X66</f>
        <v>0.0152696468390424</v>
      </c>
    </row>
    <row r="67" customFormat="false" ht="16.75" hidden="false" customHeight="false" outlineLevel="0" collapsed="false">
      <c r="B67" s="4"/>
      <c r="C67" s="5" t="n">
        <v>100</v>
      </c>
      <c r="D67" s="0" t="n">
        <v>336</v>
      </c>
      <c r="E67" s="0" t="n">
        <v>337.7</v>
      </c>
      <c r="F67" s="0" t="n">
        <v>337.2</v>
      </c>
      <c r="G67" s="0" t="n">
        <v>339.2</v>
      </c>
      <c r="H67" s="0" t="n">
        <v>342.5</v>
      </c>
      <c r="I67" s="0" t="n">
        <v>338.4</v>
      </c>
      <c r="J67" s="0" t="n">
        <v>332.4</v>
      </c>
      <c r="K67" s="0" t="n">
        <v>360.7</v>
      </c>
      <c r="L67" s="0" t="n">
        <v>339.6</v>
      </c>
      <c r="M67" s="0" t="n">
        <v>345.1</v>
      </c>
      <c r="N67" s="0" t="n">
        <v>342.1</v>
      </c>
      <c r="O67" s="0" t="n">
        <v>342.5</v>
      </c>
      <c r="P67" s="0" t="n">
        <v>342.8</v>
      </c>
      <c r="Q67" s="0" t="n">
        <v>338.3</v>
      </c>
      <c r="R67" s="0" t="n">
        <v>343.6</v>
      </c>
      <c r="S67" s="0" t="n">
        <v>342.7</v>
      </c>
      <c r="T67" s="0" t="n">
        <v>341.1</v>
      </c>
      <c r="U67" s="0" t="n">
        <v>346.3</v>
      </c>
      <c r="V67" s="0" t="n">
        <v>335.8</v>
      </c>
      <c r="W67" s="0" t="n">
        <v>325.4</v>
      </c>
      <c r="X67" s="6" t="n">
        <f aca="false">AVERAGE(D67:W67)</f>
        <v>340.47</v>
      </c>
      <c r="Y67" s="7" t="n">
        <f aca="false">_xlfn.STDEV.S(D67:W67)</f>
        <v>6.72748486669268</v>
      </c>
      <c r="Z67" s="7" t="n">
        <f aca="false">Y67/X67</f>
        <v>0.0197594057235371</v>
      </c>
    </row>
    <row r="68" customFormat="false" ht="16.75" hidden="false" customHeight="false" outlineLevel="0" collapsed="false">
      <c r="B68" s="4"/>
      <c r="C68" s="5" t="n">
        <v>150</v>
      </c>
      <c r="D68" s="0" t="n">
        <v>345</v>
      </c>
      <c r="E68" s="0" t="n">
        <v>344</v>
      </c>
      <c r="F68" s="0" t="n">
        <v>349.8</v>
      </c>
      <c r="G68" s="0" t="n">
        <v>345.2</v>
      </c>
      <c r="H68" s="0" t="n">
        <v>341.7</v>
      </c>
      <c r="I68" s="0" t="n">
        <v>344</v>
      </c>
      <c r="J68" s="0" t="n">
        <v>347.7</v>
      </c>
      <c r="K68" s="0" t="n">
        <v>343.9</v>
      </c>
      <c r="L68" s="0" t="n">
        <v>352.4</v>
      </c>
      <c r="M68" s="0" t="n">
        <v>344.3</v>
      </c>
      <c r="N68" s="0" t="n">
        <v>350.3</v>
      </c>
      <c r="O68" s="0" t="n">
        <v>346.4</v>
      </c>
      <c r="P68" s="0" t="n">
        <v>348.4</v>
      </c>
      <c r="Q68" s="0" t="n">
        <v>333.9</v>
      </c>
      <c r="R68" s="0" t="n">
        <v>340.7</v>
      </c>
      <c r="S68" s="0" t="n">
        <v>343.1</v>
      </c>
      <c r="T68" s="0" t="n">
        <v>339.7</v>
      </c>
      <c r="U68" s="0" t="n">
        <v>344.9</v>
      </c>
      <c r="V68" s="0" t="n">
        <v>350.2</v>
      </c>
      <c r="W68" s="0" t="n">
        <v>344.2</v>
      </c>
      <c r="X68" s="6" t="n">
        <f aca="false">AVERAGE(D68:W68)</f>
        <v>344.99</v>
      </c>
      <c r="Y68" s="7" t="n">
        <f aca="false">_xlfn.STDEV.S(D68:W68)</f>
        <v>4.24523262024592</v>
      </c>
      <c r="Z68" s="7" t="n">
        <f aca="false">Y68/X68</f>
        <v>0.0123053787653147</v>
      </c>
    </row>
    <row r="69" customFormat="false" ht="15" hidden="false" customHeight="true" outlineLevel="0" collapsed="false">
      <c r="A69" s="1" t="s">
        <v>39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371.1</v>
      </c>
      <c r="E74" s="0" t="n">
        <v>374.4</v>
      </c>
      <c r="F74" s="0" t="n">
        <v>377.8</v>
      </c>
      <c r="G74" s="0" t="n">
        <v>373.8</v>
      </c>
      <c r="H74" s="0" t="n">
        <v>376.4</v>
      </c>
      <c r="I74" s="0" t="n">
        <v>372.1</v>
      </c>
      <c r="J74" s="0" t="n">
        <v>371.7</v>
      </c>
      <c r="K74" s="0" t="n">
        <v>377</v>
      </c>
      <c r="L74" s="0" t="n">
        <v>372.4</v>
      </c>
      <c r="M74" s="0" t="n">
        <v>373.1</v>
      </c>
      <c r="N74" s="0" t="n">
        <v>368.9</v>
      </c>
      <c r="O74" s="0" t="n">
        <v>373.1</v>
      </c>
      <c r="P74" s="0" t="n">
        <v>373</v>
      </c>
      <c r="Q74" s="0" t="n">
        <v>373.1</v>
      </c>
      <c r="R74" s="0" t="n">
        <v>372.6</v>
      </c>
      <c r="S74" s="0" t="n">
        <v>378.4</v>
      </c>
      <c r="T74" s="0" t="n">
        <v>374.9</v>
      </c>
      <c r="U74" s="0" t="n">
        <v>372.2</v>
      </c>
      <c r="V74" s="0" t="n">
        <v>375.4</v>
      </c>
      <c r="W74" s="0" t="n">
        <v>370.7</v>
      </c>
      <c r="X74" s="6" t="n">
        <f aca="false">AVERAGE(D74:W74)</f>
        <v>373.605</v>
      </c>
      <c r="Y74" s="7" t="n">
        <f aca="false">_xlfn.STDEV.S(D74:W74)</f>
        <v>2.44744227392813</v>
      </c>
      <c r="Z74" s="7" t="n">
        <f aca="false">Y74/X74</f>
        <v>0.00655088201155802</v>
      </c>
    </row>
    <row r="75" customFormat="false" ht="16.75" hidden="false" customHeight="false" outlineLevel="0" collapsed="false">
      <c r="B75" s="4"/>
      <c r="C75" s="5" t="n">
        <v>25</v>
      </c>
      <c r="D75" s="0" t="n">
        <v>370.2</v>
      </c>
      <c r="E75" s="0" t="n">
        <v>375.3</v>
      </c>
      <c r="F75" s="0" t="n">
        <v>375.2</v>
      </c>
      <c r="G75" s="0" t="n">
        <v>375</v>
      </c>
      <c r="H75" s="0" t="n">
        <v>370.4</v>
      </c>
      <c r="I75" s="0" t="n">
        <v>372.2</v>
      </c>
      <c r="J75" s="0" t="n">
        <v>371.5</v>
      </c>
      <c r="K75" s="0" t="n">
        <v>371.1</v>
      </c>
      <c r="L75" s="0" t="n">
        <v>370.8</v>
      </c>
      <c r="M75" s="0" t="n">
        <v>370.9</v>
      </c>
      <c r="N75" s="0" t="n">
        <v>374.4</v>
      </c>
      <c r="O75" s="0" t="n">
        <v>370.9</v>
      </c>
      <c r="P75" s="0" t="n">
        <v>375.5</v>
      </c>
      <c r="Q75" s="0" t="n">
        <v>372.9</v>
      </c>
      <c r="R75" s="0" t="n">
        <v>371.7</v>
      </c>
      <c r="S75" s="0" t="n">
        <v>373.9</v>
      </c>
      <c r="T75" s="0" t="n">
        <v>372.8</v>
      </c>
      <c r="U75" s="0" t="n">
        <v>374.2</v>
      </c>
      <c r="V75" s="0" t="n">
        <v>370.5</v>
      </c>
      <c r="W75" s="0" t="n">
        <v>371.6</v>
      </c>
      <c r="X75" s="6" t="n">
        <f aca="false">AVERAGE(D75:W75)</f>
        <v>372.55</v>
      </c>
      <c r="Y75" s="7" t="n">
        <f aca="false">_xlfn.STDEV.S(D75:W75)</f>
        <v>1.85316230436403</v>
      </c>
      <c r="Z75" s="7" t="n">
        <f aca="false">Y75/X75</f>
        <v>0.00497426467417535</v>
      </c>
    </row>
    <row r="76" customFormat="false" ht="16.75" hidden="false" customHeight="false" outlineLevel="0" collapsed="false">
      <c r="B76" s="4"/>
      <c r="C76" s="5" t="n">
        <v>38</v>
      </c>
      <c r="D76" s="0" t="n">
        <v>367.5</v>
      </c>
      <c r="E76" s="0" t="n">
        <v>374.7</v>
      </c>
      <c r="F76" s="0" t="n">
        <v>368.6</v>
      </c>
      <c r="G76" s="0" t="n">
        <v>370.8</v>
      </c>
      <c r="H76" s="0" t="n">
        <v>375.1</v>
      </c>
      <c r="I76" s="0" t="n">
        <v>372</v>
      </c>
      <c r="J76" s="0" t="n">
        <v>371.1</v>
      </c>
      <c r="K76" s="0" t="n">
        <v>373.5</v>
      </c>
      <c r="L76" s="0" t="n">
        <v>372.3</v>
      </c>
      <c r="M76" s="0" t="n">
        <v>372.4</v>
      </c>
      <c r="N76" s="0" t="n">
        <v>367.2</v>
      </c>
      <c r="O76" s="0" t="n">
        <v>372.3</v>
      </c>
      <c r="P76" s="0" t="n">
        <v>370.1</v>
      </c>
      <c r="Q76" s="0" t="n">
        <v>370.7</v>
      </c>
      <c r="R76" s="0" t="n">
        <v>372.5</v>
      </c>
      <c r="S76" s="0" t="n">
        <v>371</v>
      </c>
      <c r="T76" s="0" t="n">
        <v>373.5</v>
      </c>
      <c r="U76" s="0" t="n">
        <v>369.5</v>
      </c>
      <c r="V76" s="0" t="n">
        <v>371.3</v>
      </c>
      <c r="W76" s="0" t="n">
        <v>406.8</v>
      </c>
      <c r="X76" s="6" t="n">
        <f aca="false">AVERAGE(D76:W76)</f>
        <v>373.145</v>
      </c>
      <c r="Y76" s="7" t="n">
        <f aca="false">_xlfn.STDEV.S(D76:W76)</f>
        <v>8.19804052326241</v>
      </c>
      <c r="Z76" s="7" t="n">
        <f aca="false">Y76/X76</f>
        <v>0.0219701202569039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355.5</v>
      </c>
      <c r="E77" s="0" t="n">
        <v>356.5</v>
      </c>
      <c r="F77" s="0" t="n">
        <v>344.9</v>
      </c>
      <c r="G77" s="0" t="n">
        <v>344.5</v>
      </c>
      <c r="H77" s="0" t="n">
        <v>349.8</v>
      </c>
      <c r="I77" s="0" t="n">
        <v>344.3</v>
      </c>
      <c r="J77" s="0" t="n">
        <v>344.9</v>
      </c>
      <c r="K77" s="0" t="n">
        <v>346.7</v>
      </c>
      <c r="L77" s="0" t="n">
        <v>351.8</v>
      </c>
      <c r="M77" s="0" t="n">
        <v>343.1</v>
      </c>
      <c r="N77" s="0" t="n">
        <v>347.4</v>
      </c>
      <c r="O77" s="0" t="n">
        <v>342.6</v>
      </c>
      <c r="P77" s="0" t="n">
        <v>346.1</v>
      </c>
      <c r="Q77" s="0" t="n">
        <v>342</v>
      </c>
      <c r="R77" s="0" t="n">
        <v>342.2</v>
      </c>
      <c r="S77" s="0" t="n">
        <v>343</v>
      </c>
      <c r="T77" s="0" t="n">
        <v>346.1</v>
      </c>
      <c r="U77" s="0" t="n">
        <v>346</v>
      </c>
      <c r="V77" s="0" t="n">
        <v>345.2</v>
      </c>
      <c r="W77" s="0" t="n">
        <v>347.2</v>
      </c>
      <c r="X77" s="6" t="n">
        <f aca="false">AVERAGE(D77:W77)</f>
        <v>346.49</v>
      </c>
      <c r="Y77" s="7" t="n">
        <f aca="false">_xlfn.STDEV.S(D77:W77)</f>
        <v>4.07365089065661</v>
      </c>
      <c r="Z77" s="7" t="n">
        <f aca="false">Y77/X77</f>
        <v>0.0117569075316939</v>
      </c>
    </row>
    <row r="78" customFormat="false" ht="16.75" hidden="false" customHeight="false" outlineLevel="0" collapsed="false">
      <c r="B78" s="4"/>
      <c r="C78" s="5" t="n">
        <v>63</v>
      </c>
      <c r="D78" s="0" t="n">
        <v>361.9</v>
      </c>
      <c r="E78" s="0" t="n">
        <v>357.6</v>
      </c>
      <c r="F78" s="0" t="n">
        <v>359.7</v>
      </c>
      <c r="G78" s="0" t="n">
        <v>365.2</v>
      </c>
      <c r="H78" s="0" t="n">
        <v>364</v>
      </c>
      <c r="I78" s="0" t="n">
        <v>362.4</v>
      </c>
      <c r="J78" s="0" t="n">
        <v>360.2</v>
      </c>
      <c r="K78" s="0" t="n">
        <v>358.5</v>
      </c>
      <c r="L78" s="0" t="n">
        <v>364.3</v>
      </c>
      <c r="M78" s="0" t="n">
        <v>374.9</v>
      </c>
      <c r="N78" s="0" t="n">
        <v>399.1</v>
      </c>
      <c r="O78" s="0" t="n">
        <v>383.8</v>
      </c>
      <c r="P78" s="0" t="n">
        <v>385.8</v>
      </c>
      <c r="Q78" s="0" t="n">
        <v>365.1</v>
      </c>
      <c r="R78" s="0" t="n">
        <v>357.5</v>
      </c>
      <c r="S78" s="0" t="n">
        <v>369.6</v>
      </c>
      <c r="T78" s="0" t="n">
        <v>371.6</v>
      </c>
      <c r="U78" s="0" t="n">
        <v>370.7</v>
      </c>
      <c r="V78" s="0" t="n">
        <v>367.8</v>
      </c>
      <c r="W78" s="0" t="n">
        <v>363.8</v>
      </c>
      <c r="X78" s="6" t="n">
        <f aca="false">AVERAGE(D78:W78)</f>
        <v>368.175</v>
      </c>
      <c r="Y78" s="7" t="n">
        <f aca="false">_xlfn.STDEV.S(D78:W78)</f>
        <v>10.696968335886</v>
      </c>
      <c r="Z78" s="7" t="n">
        <f aca="false">Y78/X78</f>
        <v>0.0290540322832511</v>
      </c>
    </row>
    <row r="79" customFormat="false" ht="16.75" hidden="false" customHeight="false" outlineLevel="0" collapsed="false">
      <c r="B79" s="4"/>
      <c r="C79" s="5" t="n">
        <v>93</v>
      </c>
      <c r="D79" s="0" t="n">
        <v>367.5</v>
      </c>
      <c r="E79" s="0" t="n">
        <v>366.7</v>
      </c>
      <c r="F79" s="0" t="n">
        <v>365.8</v>
      </c>
      <c r="G79" s="0" t="n">
        <v>365.7</v>
      </c>
      <c r="H79" s="0" t="n">
        <v>371.2</v>
      </c>
      <c r="I79" s="0" t="n">
        <v>368.6</v>
      </c>
      <c r="J79" s="0" t="n">
        <v>362.9</v>
      </c>
      <c r="K79" s="0" t="n">
        <v>364.4</v>
      </c>
      <c r="L79" s="0" t="n">
        <v>365.8</v>
      </c>
      <c r="M79" s="0" t="n">
        <v>364.4</v>
      </c>
      <c r="N79" s="0" t="n">
        <v>360.1</v>
      </c>
      <c r="O79" s="0" t="n">
        <v>365.8</v>
      </c>
      <c r="P79" s="0" t="n">
        <v>364</v>
      </c>
      <c r="Q79" s="0" t="n">
        <v>369</v>
      </c>
      <c r="R79" s="0" t="n">
        <v>363.6</v>
      </c>
      <c r="S79" s="0" t="n">
        <v>359.5</v>
      </c>
      <c r="T79" s="0" t="n">
        <v>362.8</v>
      </c>
      <c r="U79" s="0" t="n">
        <v>358.6</v>
      </c>
      <c r="V79" s="0" t="n">
        <v>362.9</v>
      </c>
      <c r="W79" s="0" t="n">
        <v>364.1</v>
      </c>
      <c r="X79" s="6" t="n">
        <f aca="false">AVERAGE(D79:W79)</f>
        <v>364.67</v>
      </c>
      <c r="Y79" s="7" t="n">
        <f aca="false">_xlfn.STDEV.S(D79:W79)</f>
        <v>3.1634591326917</v>
      </c>
      <c r="Z79" s="7" t="n">
        <f aca="false">Y79/X79</f>
        <v>0.00867485434143664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306</v>
      </c>
      <c r="E80" s="0" t="n">
        <v>307.3</v>
      </c>
      <c r="F80" s="0" t="n">
        <v>321.6</v>
      </c>
      <c r="G80" s="0" t="n">
        <v>305.9</v>
      </c>
      <c r="H80" s="0" t="n">
        <v>313.2</v>
      </c>
      <c r="I80" s="0" t="n">
        <v>310.7</v>
      </c>
      <c r="J80" s="0" t="n">
        <v>311.2</v>
      </c>
      <c r="K80" s="0" t="n">
        <v>321.2</v>
      </c>
      <c r="L80" s="0" t="n">
        <v>317.9</v>
      </c>
      <c r="M80" s="0" t="n">
        <v>308.3</v>
      </c>
      <c r="N80" s="0" t="n">
        <v>311.8</v>
      </c>
      <c r="O80" s="0" t="n">
        <v>310.6</v>
      </c>
      <c r="P80" s="0" t="n">
        <v>313.8</v>
      </c>
      <c r="Q80" s="0" t="n">
        <v>314.5</v>
      </c>
      <c r="R80" s="0" t="n">
        <v>312.1</v>
      </c>
      <c r="S80" s="0" t="n">
        <v>316.8</v>
      </c>
      <c r="T80" s="0" t="n">
        <v>315</v>
      </c>
      <c r="U80" s="0" t="n">
        <v>311.2</v>
      </c>
      <c r="V80" s="0" t="n">
        <v>308.1</v>
      </c>
      <c r="W80" s="0" t="n">
        <v>311.7</v>
      </c>
      <c r="X80" s="6" t="n">
        <f aca="false">AVERAGE(D80:W80)</f>
        <v>312.445</v>
      </c>
      <c r="Y80" s="7" t="n">
        <f aca="false">_xlfn.STDEV.S(D80:W80)</f>
        <v>4.47148568269276</v>
      </c>
      <c r="Z80" s="7" t="n">
        <f aca="false">Y80/X80</f>
        <v>0.0143112729686593</v>
      </c>
    </row>
    <row r="81" customFormat="false" ht="16.75" hidden="false" customHeight="false" outlineLevel="0" collapsed="false">
      <c r="B81" s="4"/>
      <c r="C81" s="5" t="n">
        <v>38</v>
      </c>
      <c r="D81" s="0" t="n">
        <v>326.6</v>
      </c>
      <c r="E81" s="0" t="n">
        <v>327.2</v>
      </c>
      <c r="F81" s="0" t="n">
        <v>331</v>
      </c>
      <c r="G81" s="0" t="n">
        <v>335</v>
      </c>
      <c r="H81" s="0" t="n">
        <v>327.7</v>
      </c>
      <c r="I81" s="0" t="n">
        <v>328.8</v>
      </c>
      <c r="J81" s="0" t="n">
        <v>327.4</v>
      </c>
      <c r="K81" s="0" t="n">
        <v>326.3</v>
      </c>
      <c r="L81" s="0" t="n">
        <v>330.5</v>
      </c>
      <c r="M81" s="0" t="n">
        <v>329.5</v>
      </c>
      <c r="N81" s="0" t="n">
        <v>330.2</v>
      </c>
      <c r="O81" s="0" t="n">
        <v>323.9</v>
      </c>
      <c r="P81" s="0" t="n">
        <v>326.4</v>
      </c>
      <c r="Q81" s="0" t="n">
        <v>326.9</v>
      </c>
      <c r="R81" s="0" t="n">
        <v>323.7</v>
      </c>
      <c r="S81" s="0" t="n">
        <v>326.3</v>
      </c>
      <c r="T81" s="0" t="n">
        <v>327.5</v>
      </c>
      <c r="U81" s="0" t="n">
        <v>335.8</v>
      </c>
      <c r="V81" s="0" t="n">
        <v>328.4</v>
      </c>
      <c r="W81" s="0" t="n">
        <v>328.8</v>
      </c>
      <c r="X81" s="6" t="n">
        <f aca="false">AVERAGE(D81:W81)</f>
        <v>328.395</v>
      </c>
      <c r="Y81" s="7" t="n">
        <f aca="false">_xlfn.STDEV.S(D81:W81)</f>
        <v>3.06636678549027</v>
      </c>
      <c r="Z81" s="7" t="n">
        <f aca="false">Y81/X81</f>
        <v>0.00933743444781519</v>
      </c>
    </row>
    <row r="82" customFormat="false" ht="16.75" hidden="false" customHeight="false" outlineLevel="0" collapsed="false">
      <c r="B82" s="4"/>
      <c r="C82" s="5" t="n">
        <v>50</v>
      </c>
      <c r="D82" s="0" t="n">
        <v>320.4</v>
      </c>
      <c r="E82" s="0" t="n">
        <v>331.2</v>
      </c>
      <c r="F82" s="0" t="n">
        <v>321.3</v>
      </c>
      <c r="G82" s="0" t="n">
        <v>337.1</v>
      </c>
      <c r="H82" s="0" t="n">
        <v>320.4</v>
      </c>
      <c r="I82" s="0" t="n">
        <v>331.5</v>
      </c>
      <c r="J82" s="0" t="n">
        <v>332</v>
      </c>
      <c r="K82" s="0" t="n">
        <v>329.3</v>
      </c>
      <c r="L82" s="0" t="n">
        <v>336</v>
      </c>
      <c r="M82" s="0" t="n">
        <v>332.5</v>
      </c>
      <c r="N82" s="0" t="n">
        <v>329.1</v>
      </c>
      <c r="O82" s="0" t="n">
        <v>331.1</v>
      </c>
      <c r="P82" s="0" t="n">
        <v>333.8</v>
      </c>
      <c r="Q82" s="0" t="n">
        <v>323.7</v>
      </c>
      <c r="R82" s="0" t="n">
        <v>330.4</v>
      </c>
      <c r="S82" s="0" t="n">
        <v>332.7</v>
      </c>
      <c r="T82" s="0" t="n">
        <v>327.1</v>
      </c>
      <c r="U82" s="0" t="n">
        <v>338.5</v>
      </c>
      <c r="V82" s="0" t="n">
        <v>325.4</v>
      </c>
      <c r="W82" s="0" t="n">
        <v>332.7</v>
      </c>
      <c r="X82" s="6" t="n">
        <f aca="false">AVERAGE(D82:W82)</f>
        <v>329.81</v>
      </c>
      <c r="Y82" s="7" t="n">
        <f aca="false">_xlfn.STDEV.S(D82:W82)</f>
        <v>5.29566853788622</v>
      </c>
      <c r="Z82" s="7" t="n">
        <f aca="false">Y82/X82</f>
        <v>0.0160567251990122</v>
      </c>
    </row>
    <row r="83" customFormat="false" ht="16.75" hidden="false" customHeight="false" outlineLevel="0" collapsed="false">
      <c r="B83" s="4"/>
      <c r="C83" s="5" t="n">
        <v>75</v>
      </c>
      <c r="D83" s="0" t="n">
        <v>336.2</v>
      </c>
      <c r="E83" s="0" t="n">
        <v>326.1</v>
      </c>
      <c r="F83" s="0" t="n">
        <v>328.1</v>
      </c>
      <c r="G83" s="0" t="n">
        <v>334.8</v>
      </c>
      <c r="H83" s="0" t="n">
        <v>329.7</v>
      </c>
      <c r="I83" s="0" t="n">
        <v>324.9</v>
      </c>
      <c r="J83" s="0" t="n">
        <v>330.4</v>
      </c>
      <c r="K83" s="0" t="n">
        <v>328.3</v>
      </c>
      <c r="L83" s="0" t="n">
        <v>331.2</v>
      </c>
      <c r="M83" s="0" t="n">
        <v>315.9</v>
      </c>
      <c r="N83" s="0" t="n">
        <v>327</v>
      </c>
      <c r="O83" s="0" t="n">
        <v>323.8</v>
      </c>
      <c r="P83" s="0" t="n">
        <v>336.7</v>
      </c>
      <c r="Q83" s="0" t="n">
        <v>324.8</v>
      </c>
      <c r="R83" s="0" t="n">
        <v>334.7</v>
      </c>
      <c r="S83" s="0" t="n">
        <v>323.7</v>
      </c>
      <c r="T83" s="0" t="n">
        <v>334.9</v>
      </c>
      <c r="U83" s="0" t="n">
        <v>327.8</v>
      </c>
      <c r="V83" s="0" t="n">
        <v>331.2</v>
      </c>
      <c r="W83" s="0" t="n">
        <v>328.5</v>
      </c>
      <c r="X83" s="6" t="n">
        <f aca="false">AVERAGE(D83:W83)</f>
        <v>328.935</v>
      </c>
      <c r="Y83" s="7" t="n">
        <f aca="false">_xlfn.STDEV.S(D83:W83)</f>
        <v>5.13350962331148</v>
      </c>
      <c r="Z83" s="7" t="n">
        <f aca="false">Y83/X83</f>
        <v>0.0156064560576147</v>
      </c>
    </row>
    <row r="84" customFormat="false" ht="16.75" hidden="false" customHeight="false" outlineLevel="0" collapsed="false">
      <c r="B84" s="4"/>
      <c r="C84" s="5" t="n">
        <v>100</v>
      </c>
      <c r="D84" s="0" t="n">
        <v>339.2</v>
      </c>
      <c r="E84" s="0" t="n">
        <v>333.6</v>
      </c>
      <c r="F84" s="0" t="n">
        <v>343.1</v>
      </c>
      <c r="G84" s="0" t="n">
        <v>339.5</v>
      </c>
      <c r="H84" s="0" t="n">
        <v>341.5</v>
      </c>
      <c r="I84" s="0" t="n">
        <v>332.7</v>
      </c>
      <c r="J84" s="0" t="n">
        <v>334.2</v>
      </c>
      <c r="K84" s="0" t="n">
        <v>341.6</v>
      </c>
      <c r="L84" s="0" t="n">
        <v>349.7</v>
      </c>
      <c r="M84" s="0" t="n">
        <v>335.5</v>
      </c>
      <c r="N84" s="0" t="n">
        <v>342.9</v>
      </c>
      <c r="O84" s="0" t="n">
        <v>338.9</v>
      </c>
      <c r="P84" s="0" t="n">
        <v>326.9</v>
      </c>
      <c r="Q84" s="0" t="n">
        <v>327.9</v>
      </c>
      <c r="R84" s="0" t="n">
        <v>342</v>
      </c>
      <c r="S84" s="0" t="n">
        <v>338.5</v>
      </c>
      <c r="T84" s="0" t="n">
        <v>329.2</v>
      </c>
      <c r="U84" s="0" t="n">
        <v>342</v>
      </c>
      <c r="V84" s="0" t="n">
        <v>337.4</v>
      </c>
      <c r="W84" s="0" t="n">
        <v>334.3</v>
      </c>
      <c r="X84" s="6" t="n">
        <f aca="false">AVERAGE(D84:W84)</f>
        <v>337.53</v>
      </c>
      <c r="Y84" s="7" t="n">
        <f aca="false">_xlfn.STDEV.S(D84:W84)</f>
        <v>5.75509842615545</v>
      </c>
      <c r="Z84" s="7" t="n">
        <f aca="false">Y84/X84</f>
        <v>0.0170506278735385</v>
      </c>
    </row>
    <row r="85" customFormat="false" ht="16.75" hidden="false" customHeight="false" outlineLevel="0" collapsed="false">
      <c r="B85" s="4"/>
      <c r="C85" s="5" t="n">
        <v>150</v>
      </c>
      <c r="D85" s="0" t="n">
        <v>356.2</v>
      </c>
      <c r="E85" s="0" t="n">
        <v>357</v>
      </c>
      <c r="F85" s="0" t="n">
        <v>358.3</v>
      </c>
      <c r="G85" s="0" t="n">
        <v>362.5</v>
      </c>
      <c r="H85" s="0" t="n">
        <v>351.7</v>
      </c>
      <c r="I85" s="0" t="n">
        <v>356.9</v>
      </c>
      <c r="J85" s="0" t="n">
        <v>351.4</v>
      </c>
      <c r="K85" s="0" t="n">
        <v>358.6</v>
      </c>
      <c r="L85" s="0" t="n">
        <v>350.6</v>
      </c>
      <c r="M85" s="0" t="n">
        <v>357.9</v>
      </c>
      <c r="N85" s="0" t="n">
        <v>357.2</v>
      </c>
      <c r="O85" s="0" t="n">
        <v>352.3</v>
      </c>
      <c r="P85" s="0" t="n">
        <v>351.5</v>
      </c>
      <c r="Q85" s="0" t="n">
        <v>354.1</v>
      </c>
      <c r="R85" s="0" t="n">
        <v>352.2</v>
      </c>
      <c r="S85" s="0" t="n">
        <v>353.1</v>
      </c>
      <c r="T85" s="0" t="n">
        <v>356.9</v>
      </c>
      <c r="U85" s="0" t="n">
        <v>355.3</v>
      </c>
      <c r="V85" s="0" t="n">
        <v>356.9</v>
      </c>
      <c r="W85" s="0" t="n">
        <v>356.1</v>
      </c>
      <c r="X85" s="6" t="n">
        <f aca="false">AVERAGE(D85:W85)</f>
        <v>355.335</v>
      </c>
      <c r="Y85" s="7" t="n">
        <f aca="false">_xlfn.STDEV.S(D85:W85)</f>
        <v>3.10928575314924</v>
      </c>
      <c r="Z85" s="7" t="n">
        <f aca="false">Y85/X85</f>
        <v>0.00875029409753961</v>
      </c>
    </row>
    <row r="86" customFormat="false" ht="15" hidden="false" customHeight="true" outlineLevel="0" collapsed="false">
      <c r="A86" s="1" t="s">
        <v>39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371.5</v>
      </c>
      <c r="E91" s="0" t="n">
        <v>375</v>
      </c>
      <c r="F91" s="0" t="n">
        <v>373.5</v>
      </c>
      <c r="G91" s="0" t="n">
        <v>371.7</v>
      </c>
      <c r="H91" s="0" t="n">
        <v>371.8</v>
      </c>
      <c r="I91" s="0" t="n">
        <v>376.9</v>
      </c>
      <c r="J91" s="0" t="n">
        <v>373.8</v>
      </c>
      <c r="K91" s="0" t="n">
        <v>372.9</v>
      </c>
      <c r="L91" s="0" t="n">
        <v>373.8</v>
      </c>
      <c r="M91" s="0" t="n">
        <v>371.2</v>
      </c>
      <c r="N91" s="0" t="n">
        <v>375.9</v>
      </c>
      <c r="O91" s="0" t="n">
        <v>373.1</v>
      </c>
      <c r="P91" s="0" t="n">
        <v>373.6</v>
      </c>
      <c r="Q91" s="0" t="n">
        <v>373.3</v>
      </c>
      <c r="R91" s="0" t="n">
        <v>378.7</v>
      </c>
      <c r="S91" s="0" t="n">
        <v>376.4</v>
      </c>
      <c r="T91" s="0" t="n">
        <v>375.4</v>
      </c>
      <c r="U91" s="0" t="n">
        <v>373.1</v>
      </c>
      <c r="V91" s="0" t="n">
        <v>376.9</v>
      </c>
      <c r="W91" s="0" t="n">
        <v>374.2</v>
      </c>
      <c r="X91" s="6" t="n">
        <f aca="false">AVERAGE(D91:W91)</f>
        <v>374.135</v>
      </c>
      <c r="Y91" s="7" t="n">
        <f aca="false">_xlfn.STDEV.S(D91:W91)</f>
        <v>2.03838816612279</v>
      </c>
      <c r="Z91" s="7" t="n">
        <f aca="false">Y91/X91</f>
        <v>0.00544826911709087</v>
      </c>
    </row>
    <row r="92" customFormat="false" ht="16.75" hidden="false" customHeight="false" outlineLevel="0" collapsed="false">
      <c r="B92" s="4"/>
      <c r="C92" s="5" t="n">
        <v>25</v>
      </c>
      <c r="D92" s="0" t="n">
        <v>371.3</v>
      </c>
      <c r="E92" s="0" t="n">
        <v>369.1</v>
      </c>
      <c r="F92" s="0" t="n">
        <v>367.3</v>
      </c>
      <c r="G92" s="0" t="n">
        <v>369</v>
      </c>
      <c r="H92" s="0" t="n">
        <v>369.8</v>
      </c>
      <c r="I92" s="0" t="n">
        <v>370.4</v>
      </c>
      <c r="J92" s="0" t="n">
        <v>370</v>
      </c>
      <c r="K92" s="0" t="n">
        <v>371.2</v>
      </c>
      <c r="L92" s="0" t="n">
        <v>375.3</v>
      </c>
      <c r="M92" s="0" t="n">
        <v>370.3</v>
      </c>
      <c r="N92" s="0" t="n">
        <v>372.6</v>
      </c>
      <c r="O92" s="0" t="n">
        <v>367</v>
      </c>
      <c r="P92" s="0" t="n">
        <v>370.2</v>
      </c>
      <c r="Q92" s="0" t="n">
        <v>370.9</v>
      </c>
      <c r="R92" s="0" t="n">
        <v>371.9</v>
      </c>
      <c r="S92" s="0" t="n">
        <v>371.3</v>
      </c>
      <c r="T92" s="0" t="n">
        <v>368.1</v>
      </c>
      <c r="U92" s="0" t="n">
        <v>369.5</v>
      </c>
      <c r="V92" s="0" t="n">
        <v>370.5</v>
      </c>
      <c r="W92" s="0" t="n">
        <v>372.7</v>
      </c>
      <c r="X92" s="6" t="n">
        <f aca="false">AVERAGE(D92:W92)</f>
        <v>370.42</v>
      </c>
      <c r="Y92" s="7" t="n">
        <f aca="false">_xlfn.STDEV.S(D92:W92)</f>
        <v>1.92479663997607</v>
      </c>
      <c r="Z92" s="7" t="n">
        <f aca="false">Y92/X92</f>
        <v>0.00519625462981498</v>
      </c>
    </row>
    <row r="93" customFormat="false" ht="16.75" hidden="false" customHeight="false" outlineLevel="0" collapsed="false">
      <c r="B93" s="4"/>
      <c r="C93" s="5" t="n">
        <v>38</v>
      </c>
      <c r="D93" s="0" t="n">
        <v>369.8</v>
      </c>
      <c r="E93" s="0" t="n">
        <v>369.3</v>
      </c>
      <c r="F93" s="0" t="n">
        <v>370.2</v>
      </c>
      <c r="G93" s="0" t="n">
        <v>368.6</v>
      </c>
      <c r="H93" s="0" t="n">
        <v>370.7</v>
      </c>
      <c r="I93" s="0" t="n">
        <v>371.4</v>
      </c>
      <c r="J93" s="0" t="n">
        <v>371.5</v>
      </c>
      <c r="K93" s="0" t="n">
        <v>372.3</v>
      </c>
      <c r="L93" s="0" t="n">
        <v>369.8</v>
      </c>
      <c r="M93" s="0" t="n">
        <v>370.9</v>
      </c>
      <c r="N93" s="0" t="n">
        <v>370.5</v>
      </c>
      <c r="O93" s="0" t="n">
        <v>365.8</v>
      </c>
      <c r="P93" s="0" t="n">
        <v>368.7</v>
      </c>
      <c r="Q93" s="0" t="n">
        <v>371.6</v>
      </c>
      <c r="R93" s="0" t="n">
        <v>369.7</v>
      </c>
      <c r="S93" s="0" t="n">
        <v>369.7</v>
      </c>
      <c r="T93" s="0" t="n">
        <v>373.7</v>
      </c>
      <c r="U93" s="0" t="n">
        <v>370</v>
      </c>
      <c r="V93" s="0" t="n">
        <v>367.5</v>
      </c>
      <c r="W93" s="0" t="n">
        <v>369.7</v>
      </c>
      <c r="X93" s="6" t="n">
        <f aca="false">AVERAGE(D93:W93)</f>
        <v>370.07</v>
      </c>
      <c r="Y93" s="7" t="n">
        <f aca="false">_xlfn.STDEV.S(D93:W93)</f>
        <v>1.7109861730039</v>
      </c>
      <c r="Z93" s="7" t="n">
        <f aca="false">Y93/X93</f>
        <v>0.00462341225444888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347.1</v>
      </c>
      <c r="E94" s="0" t="n">
        <v>346</v>
      </c>
      <c r="F94" s="0" t="n">
        <v>349.2</v>
      </c>
      <c r="G94" s="0" t="n">
        <v>345.4</v>
      </c>
      <c r="H94" s="0" t="n">
        <v>352.3</v>
      </c>
      <c r="I94" s="0" t="n">
        <v>350.3</v>
      </c>
      <c r="J94" s="0" t="n">
        <v>351.6</v>
      </c>
      <c r="K94" s="0" t="n">
        <v>368.8</v>
      </c>
      <c r="L94" s="0" t="n">
        <v>366.9</v>
      </c>
      <c r="M94" s="0" t="n">
        <v>361.1</v>
      </c>
      <c r="N94" s="0" t="n">
        <v>343.9</v>
      </c>
      <c r="O94" s="0" t="n">
        <v>349.5</v>
      </c>
      <c r="P94" s="0" t="n">
        <v>355.5</v>
      </c>
      <c r="Q94" s="0" t="n">
        <v>352.7</v>
      </c>
      <c r="R94" s="0" t="n">
        <v>350</v>
      </c>
      <c r="S94" s="0" t="n">
        <v>346</v>
      </c>
      <c r="T94" s="0" t="n">
        <v>350.5</v>
      </c>
      <c r="U94" s="0" t="n">
        <v>347.5</v>
      </c>
      <c r="V94" s="0" t="n">
        <v>342.3</v>
      </c>
      <c r="W94" s="0" t="n">
        <v>348.3</v>
      </c>
      <c r="X94" s="6" t="n">
        <f aca="false">AVERAGE(D94:W94)</f>
        <v>351.245</v>
      </c>
      <c r="Y94" s="7" t="n">
        <f aca="false">_xlfn.STDEV.S(D94:W94)</f>
        <v>7.05276914634096</v>
      </c>
      <c r="Z94" s="7" t="n">
        <f aca="false">Y94/X94</f>
        <v>0.020079343894834</v>
      </c>
    </row>
    <row r="95" customFormat="false" ht="16.75" hidden="false" customHeight="false" outlineLevel="0" collapsed="false">
      <c r="B95" s="4"/>
      <c r="C95" s="5" t="n">
        <v>63</v>
      </c>
      <c r="D95" s="0" t="n">
        <v>352</v>
      </c>
      <c r="E95" s="0" t="n">
        <v>352.5</v>
      </c>
      <c r="F95" s="0" t="n">
        <v>352.6</v>
      </c>
      <c r="G95" s="0" t="n">
        <v>353.1</v>
      </c>
      <c r="H95" s="0" t="n">
        <v>358.1</v>
      </c>
      <c r="I95" s="0" t="n">
        <v>355.6</v>
      </c>
      <c r="J95" s="0" t="n">
        <v>353.6</v>
      </c>
      <c r="K95" s="0" t="n">
        <v>356.7</v>
      </c>
      <c r="L95" s="0" t="n">
        <v>355</v>
      </c>
      <c r="M95" s="0" t="n">
        <v>352.2</v>
      </c>
      <c r="N95" s="0" t="n">
        <v>347.9</v>
      </c>
      <c r="O95" s="0" t="n">
        <v>350.7</v>
      </c>
      <c r="P95" s="0" t="n">
        <v>354.3</v>
      </c>
      <c r="Q95" s="0" t="n">
        <v>359.8</v>
      </c>
      <c r="R95" s="0" t="n">
        <v>350</v>
      </c>
      <c r="S95" s="0" t="n">
        <v>349.1</v>
      </c>
      <c r="T95" s="0" t="n">
        <v>343.7</v>
      </c>
      <c r="U95" s="0" t="n">
        <v>355.1</v>
      </c>
      <c r="V95" s="0" t="n">
        <v>354.2</v>
      </c>
      <c r="W95" s="0" t="n">
        <v>351.6</v>
      </c>
      <c r="X95" s="6" t="n">
        <f aca="false">AVERAGE(D95:W95)</f>
        <v>352.89</v>
      </c>
      <c r="Y95" s="7" t="n">
        <f aca="false">_xlfn.STDEV.S(D95:W95)</f>
        <v>3.63012251496892</v>
      </c>
      <c r="Z95" s="7" t="n">
        <f aca="false">Y95/X95</f>
        <v>0.0102868387173593</v>
      </c>
    </row>
    <row r="96" customFormat="false" ht="16.75" hidden="false" customHeight="false" outlineLevel="0" collapsed="false">
      <c r="B96" s="4"/>
      <c r="C96" s="5" t="n">
        <v>93</v>
      </c>
      <c r="D96" s="0" t="n">
        <v>360.9</v>
      </c>
      <c r="E96" s="0" t="n">
        <v>359.4</v>
      </c>
      <c r="F96" s="0" t="n">
        <v>365.9</v>
      </c>
      <c r="G96" s="0" t="n">
        <v>360.4</v>
      </c>
      <c r="H96" s="0" t="n">
        <v>358.9</v>
      </c>
      <c r="I96" s="0" t="n">
        <v>362</v>
      </c>
      <c r="J96" s="0" t="n">
        <v>358.8</v>
      </c>
      <c r="K96" s="0" t="n">
        <v>362.6</v>
      </c>
      <c r="L96" s="0" t="n">
        <v>358.1</v>
      </c>
      <c r="M96" s="0" t="n">
        <v>359.1</v>
      </c>
      <c r="N96" s="0" t="n">
        <v>359.6</v>
      </c>
      <c r="O96" s="0" t="n">
        <v>359.9</v>
      </c>
      <c r="P96" s="0" t="n">
        <v>356.8</v>
      </c>
      <c r="Q96" s="0" t="n">
        <v>362.3</v>
      </c>
      <c r="R96" s="0" t="n">
        <v>360</v>
      </c>
      <c r="S96" s="0" t="n">
        <v>363.4</v>
      </c>
      <c r="T96" s="0" t="n">
        <v>361.6</v>
      </c>
      <c r="U96" s="0" t="n">
        <v>361</v>
      </c>
      <c r="V96" s="0" t="n">
        <v>358.9</v>
      </c>
      <c r="W96" s="0" t="n">
        <v>361.4</v>
      </c>
      <c r="X96" s="6" t="n">
        <f aca="false">AVERAGE(D96:W96)</f>
        <v>360.55</v>
      </c>
      <c r="Y96" s="7" t="n">
        <f aca="false">_xlfn.STDEV.S(D96:W96)</f>
        <v>2.0763074511206</v>
      </c>
      <c r="Z96" s="7" t="n">
        <f aca="false">Y96/X96</f>
        <v>0.0057587226490656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306.7</v>
      </c>
      <c r="E97" s="0" t="n">
        <v>306.8</v>
      </c>
      <c r="F97" s="0" t="n">
        <v>310.3</v>
      </c>
      <c r="G97" s="0" t="n">
        <v>304</v>
      </c>
      <c r="H97" s="0" t="n">
        <v>311.9</v>
      </c>
      <c r="I97" s="0" t="n">
        <v>317.2</v>
      </c>
      <c r="J97" s="0" t="n">
        <v>295.3</v>
      </c>
      <c r="K97" s="0" t="n">
        <v>300.5</v>
      </c>
      <c r="L97" s="0" t="n">
        <v>302.6</v>
      </c>
      <c r="M97" s="0" t="n">
        <v>306.6</v>
      </c>
      <c r="N97" s="0" t="n">
        <v>316.8</v>
      </c>
      <c r="O97" s="0" t="n">
        <v>304.4</v>
      </c>
      <c r="P97" s="0" t="n">
        <v>309.7</v>
      </c>
      <c r="Q97" s="0" t="n">
        <v>303</v>
      </c>
      <c r="R97" s="0" t="n">
        <v>303.4</v>
      </c>
      <c r="S97" s="0" t="n">
        <v>303.1</v>
      </c>
      <c r="T97" s="0" t="n">
        <v>300.5</v>
      </c>
      <c r="U97" s="0" t="n">
        <v>299.3</v>
      </c>
      <c r="V97" s="0" t="n">
        <v>303.8</v>
      </c>
      <c r="W97" s="0" t="n">
        <v>308.9</v>
      </c>
      <c r="X97" s="6" t="n">
        <f aca="false">AVERAGE(D97:W97)</f>
        <v>305.74</v>
      </c>
      <c r="Y97" s="7" t="n">
        <f aca="false">_xlfn.STDEV.S(D97:W97)</f>
        <v>5.54706181116112</v>
      </c>
      <c r="Z97" s="7" t="n">
        <f aca="false">Y97/X97</f>
        <v>0.0181430686569017</v>
      </c>
    </row>
    <row r="98" customFormat="false" ht="16.75" hidden="false" customHeight="false" outlineLevel="0" collapsed="false">
      <c r="B98" s="4"/>
      <c r="C98" s="5" t="n">
        <v>38</v>
      </c>
      <c r="D98" s="0" t="n">
        <v>329.8</v>
      </c>
      <c r="E98" s="0" t="n">
        <v>323.2</v>
      </c>
      <c r="F98" s="0" t="n">
        <v>326.8</v>
      </c>
      <c r="G98" s="0" t="n">
        <v>328.4</v>
      </c>
      <c r="H98" s="0" t="n">
        <v>320.6</v>
      </c>
      <c r="I98" s="0" t="n">
        <v>318</v>
      </c>
      <c r="J98" s="0" t="n">
        <v>321.5</v>
      </c>
      <c r="K98" s="0" t="n">
        <v>326.5</v>
      </c>
      <c r="L98" s="0" t="n">
        <v>323.7</v>
      </c>
      <c r="M98" s="0" t="n">
        <v>324.2</v>
      </c>
      <c r="N98" s="0" t="n">
        <v>319.7</v>
      </c>
      <c r="O98" s="0" t="n">
        <v>309.8</v>
      </c>
      <c r="P98" s="0" t="n">
        <v>315.1</v>
      </c>
      <c r="Q98" s="0" t="n">
        <v>319.3</v>
      </c>
      <c r="R98" s="0" t="n">
        <v>327.4</v>
      </c>
      <c r="S98" s="0" t="n">
        <v>321.3</v>
      </c>
      <c r="T98" s="0" t="n">
        <v>321.9</v>
      </c>
      <c r="U98" s="0" t="n">
        <v>319.4</v>
      </c>
      <c r="V98" s="0" t="n">
        <v>319.9</v>
      </c>
      <c r="W98" s="0" t="n">
        <v>319.3</v>
      </c>
      <c r="X98" s="6" t="n">
        <f aca="false">AVERAGE(D98:W98)</f>
        <v>321.79</v>
      </c>
      <c r="Y98" s="7" t="n">
        <f aca="false">_xlfn.STDEV.S(D98:W98)</f>
        <v>4.75027977015426</v>
      </c>
      <c r="Z98" s="7" t="n">
        <f aca="false">Y98/X98</f>
        <v>0.0147620490697482</v>
      </c>
    </row>
    <row r="99" customFormat="false" ht="16.75" hidden="false" customHeight="false" outlineLevel="0" collapsed="false">
      <c r="B99" s="4"/>
      <c r="C99" s="5" t="n">
        <v>50</v>
      </c>
      <c r="D99" s="0" t="n">
        <v>325.2</v>
      </c>
      <c r="E99" s="0" t="n">
        <v>324.5</v>
      </c>
      <c r="F99" s="0" t="n">
        <v>326.5</v>
      </c>
      <c r="G99" s="0" t="n">
        <v>318.8</v>
      </c>
      <c r="H99" s="0" t="n">
        <v>327.6</v>
      </c>
      <c r="I99" s="0" t="n">
        <v>320.7</v>
      </c>
      <c r="J99" s="0" t="n">
        <v>325.1</v>
      </c>
      <c r="K99" s="0" t="n">
        <v>319</v>
      </c>
      <c r="L99" s="0" t="n">
        <v>329.4</v>
      </c>
      <c r="M99" s="0" t="n">
        <v>326.3</v>
      </c>
      <c r="N99" s="0" t="n">
        <v>330.4</v>
      </c>
      <c r="O99" s="0" t="n">
        <v>317.8</v>
      </c>
      <c r="P99" s="0" t="n">
        <v>319.4</v>
      </c>
      <c r="Q99" s="0" t="n">
        <v>323.6</v>
      </c>
      <c r="R99" s="0" t="n">
        <v>329.1</v>
      </c>
      <c r="S99" s="0" t="n">
        <v>333.7</v>
      </c>
      <c r="T99" s="0" t="n">
        <v>323.7</v>
      </c>
      <c r="U99" s="0" t="n">
        <v>324.2</v>
      </c>
      <c r="V99" s="0" t="n">
        <v>320.7</v>
      </c>
      <c r="W99" s="0" t="n">
        <v>320.3</v>
      </c>
      <c r="X99" s="6" t="n">
        <f aca="false">AVERAGE(D99:W99)</f>
        <v>324.3</v>
      </c>
      <c r="Y99" s="7" t="n">
        <f aca="false">_xlfn.STDEV.S(D99:W99)</f>
        <v>4.37228111004578</v>
      </c>
      <c r="Z99" s="7" t="n">
        <f aca="false">Y99/X99</f>
        <v>0.013482211255152</v>
      </c>
    </row>
    <row r="100" customFormat="false" ht="16.75" hidden="false" customHeight="false" outlineLevel="0" collapsed="false">
      <c r="B100" s="4"/>
      <c r="C100" s="5" t="n">
        <v>75</v>
      </c>
      <c r="D100" s="0" t="n">
        <v>334.9</v>
      </c>
      <c r="E100" s="0" t="n">
        <v>329.7</v>
      </c>
      <c r="F100" s="0" t="n">
        <v>325.6</v>
      </c>
      <c r="G100" s="0" t="n">
        <v>333.2</v>
      </c>
      <c r="H100" s="0" t="n">
        <v>329.7</v>
      </c>
      <c r="I100" s="0" t="n">
        <v>328.7</v>
      </c>
      <c r="J100" s="0" t="n">
        <v>334.4</v>
      </c>
      <c r="K100" s="0" t="n">
        <v>329.9</v>
      </c>
      <c r="L100" s="0" t="n">
        <v>326.8</v>
      </c>
      <c r="M100" s="0" t="n">
        <v>329.3</v>
      </c>
      <c r="N100" s="0" t="n">
        <v>335.6</v>
      </c>
      <c r="O100" s="0" t="n">
        <v>329.9</v>
      </c>
      <c r="P100" s="0" t="n">
        <v>328.8</v>
      </c>
      <c r="Q100" s="0" t="n">
        <v>328.2</v>
      </c>
      <c r="R100" s="0" t="n">
        <v>326.9</v>
      </c>
      <c r="S100" s="0" t="n">
        <v>331.4</v>
      </c>
      <c r="T100" s="0" t="n">
        <v>334.3</v>
      </c>
      <c r="U100" s="0" t="n">
        <v>333</v>
      </c>
      <c r="V100" s="0" t="n">
        <v>334.6</v>
      </c>
      <c r="W100" s="0" t="n">
        <v>329.3</v>
      </c>
      <c r="X100" s="6" t="n">
        <f aca="false">AVERAGE(D100:W100)</f>
        <v>330.71</v>
      </c>
      <c r="Y100" s="7" t="n">
        <f aca="false">_xlfn.STDEV.S(D100:W100)</f>
        <v>3.01101486650528</v>
      </c>
      <c r="Z100" s="7" t="n">
        <f aca="false">Y100/X100</f>
        <v>0.00910469857731934</v>
      </c>
    </row>
    <row r="101" customFormat="false" ht="16.75" hidden="false" customHeight="false" outlineLevel="0" collapsed="false">
      <c r="B101" s="4"/>
      <c r="C101" s="5" t="n">
        <v>100</v>
      </c>
      <c r="D101" s="0" t="n">
        <v>342.5</v>
      </c>
      <c r="E101" s="0" t="n">
        <v>336.9</v>
      </c>
      <c r="F101" s="0" t="n">
        <v>341.1</v>
      </c>
      <c r="G101" s="0" t="n">
        <v>336.4</v>
      </c>
      <c r="H101" s="0" t="n">
        <v>336.7</v>
      </c>
      <c r="I101" s="0" t="n">
        <v>336.8</v>
      </c>
      <c r="J101" s="0" t="n">
        <v>335.7</v>
      </c>
      <c r="K101" s="0" t="n">
        <v>339.6</v>
      </c>
      <c r="L101" s="0" t="n">
        <v>338.3</v>
      </c>
      <c r="M101" s="0" t="n">
        <v>334.8</v>
      </c>
      <c r="N101" s="0" t="n">
        <v>340.8</v>
      </c>
      <c r="O101" s="0" t="n">
        <v>336.3</v>
      </c>
      <c r="P101" s="0" t="n">
        <v>335.4</v>
      </c>
      <c r="Q101" s="0" t="n">
        <v>335</v>
      </c>
      <c r="R101" s="0" t="n">
        <v>340.2</v>
      </c>
      <c r="S101" s="0" t="n">
        <v>328.8</v>
      </c>
      <c r="T101" s="0" t="n">
        <v>331.5</v>
      </c>
      <c r="U101" s="0" t="n">
        <v>337.5</v>
      </c>
      <c r="V101" s="0" t="n">
        <v>337</v>
      </c>
      <c r="W101" s="0" t="n">
        <v>336.9</v>
      </c>
      <c r="X101" s="6" t="n">
        <f aca="false">AVERAGE(D101:W101)</f>
        <v>336.91</v>
      </c>
      <c r="Y101" s="7" t="n">
        <f aca="false">_xlfn.STDEV.S(D101:W101)</f>
        <v>3.1777019170596</v>
      </c>
      <c r="Z101" s="7" t="n">
        <f aca="false">Y101/X101</f>
        <v>0.00943190144863493</v>
      </c>
    </row>
    <row r="102" customFormat="false" ht="16.75" hidden="false" customHeight="false" outlineLevel="0" collapsed="false">
      <c r="B102" s="4"/>
      <c r="C102" s="5" t="n">
        <v>150</v>
      </c>
      <c r="D102" s="0" t="n">
        <v>344.4</v>
      </c>
      <c r="E102" s="0" t="n">
        <v>342.1</v>
      </c>
      <c r="F102" s="0" t="n">
        <v>345.4</v>
      </c>
      <c r="G102" s="0" t="n">
        <v>334.9</v>
      </c>
      <c r="H102" s="0" t="n">
        <v>338.8</v>
      </c>
      <c r="I102" s="0" t="n">
        <v>342.1</v>
      </c>
      <c r="J102" s="0" t="n">
        <v>341.2</v>
      </c>
      <c r="K102" s="0" t="n">
        <v>344</v>
      </c>
      <c r="L102" s="0" t="n">
        <v>345.2</v>
      </c>
      <c r="M102" s="0" t="n">
        <v>338.7</v>
      </c>
      <c r="N102" s="0" t="n">
        <v>343.8</v>
      </c>
      <c r="O102" s="0" t="n">
        <v>346.5</v>
      </c>
      <c r="P102" s="0" t="n">
        <v>343.7</v>
      </c>
      <c r="Q102" s="0" t="n">
        <v>345</v>
      </c>
      <c r="R102" s="0" t="n">
        <v>344.4</v>
      </c>
      <c r="S102" s="0" t="n">
        <v>342.2</v>
      </c>
      <c r="T102" s="0" t="n">
        <v>353.8</v>
      </c>
      <c r="U102" s="0" t="n">
        <v>336.6</v>
      </c>
      <c r="V102" s="0" t="n">
        <v>342.4</v>
      </c>
      <c r="W102" s="0" t="n">
        <v>335</v>
      </c>
      <c r="X102" s="6" t="n">
        <f aca="false">AVERAGE(D102:W102)</f>
        <v>342.51</v>
      </c>
      <c r="Y102" s="7" t="n">
        <f aca="false">_xlfn.STDEV.S(D102:W102)</f>
        <v>4.33649142680311</v>
      </c>
      <c r="Z102" s="7" t="n">
        <f aca="false">Y102/X102</f>
        <v>0.0126609191755076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3"/>
  <sheetViews>
    <sheetView showFormulas="false" showGridLines="true" showRowColHeaders="true" showZeros="true" rightToLeft="false" tabSelected="true" showOutlineSymbols="true" defaultGridColor="true" view="normal" topLeftCell="L8" colorId="64" zoomScale="100" zoomScaleNormal="100" zoomScalePageLayoutView="100" workbookViewId="0">
      <selection pane="topLeft" activeCell="A125" activeCellId="0" sqref="A125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40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A5" s="3" t="s">
        <v>2</v>
      </c>
      <c r="B5" s="3" t="s">
        <v>3</v>
      </c>
      <c r="C5" s="3" t="s">
        <v>41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A6" s="10" t="n">
        <v>10</v>
      </c>
      <c r="B6" s="4" t="n">
        <v>25</v>
      </c>
      <c r="C6" s="5" t="n">
        <v>0</v>
      </c>
      <c r="D6" s="0" t="n">
        <v>394.1</v>
      </c>
      <c r="E6" s="0" t="n">
        <v>394</v>
      </c>
      <c r="F6" s="0" t="n">
        <v>395.9</v>
      </c>
      <c r="G6" s="0" t="n">
        <v>398.3</v>
      </c>
      <c r="H6" s="0" t="n">
        <v>387.2</v>
      </c>
      <c r="I6" s="0" t="n">
        <v>404.4</v>
      </c>
      <c r="J6" s="0" t="n">
        <v>398.3</v>
      </c>
      <c r="K6" s="0" t="n">
        <v>403.9</v>
      </c>
      <c r="L6" s="0" t="n">
        <v>400</v>
      </c>
      <c r="M6" s="0" t="n">
        <v>399.6</v>
      </c>
      <c r="N6" s="0" t="n">
        <v>396.5</v>
      </c>
      <c r="O6" s="0" t="n">
        <v>396.1</v>
      </c>
      <c r="P6" s="0" t="n">
        <v>409.5</v>
      </c>
      <c r="Q6" s="0" t="n">
        <v>406.5</v>
      </c>
      <c r="R6" s="0" t="n">
        <v>390.5</v>
      </c>
      <c r="S6" s="0" t="n">
        <v>390.5</v>
      </c>
      <c r="T6" s="0" t="n">
        <v>406</v>
      </c>
      <c r="U6" s="0" t="n">
        <v>399</v>
      </c>
      <c r="V6" s="0" t="n">
        <v>399.5</v>
      </c>
      <c r="W6" s="0" t="n">
        <v>394.8</v>
      </c>
      <c r="X6" s="6" t="n">
        <f aca="false">AVERAGE(D6:W6)</f>
        <v>398.23</v>
      </c>
      <c r="Y6" s="7" t="n">
        <f aca="false">_xlfn.STDEV.S(D6:W6)</f>
        <v>5.77682302053008</v>
      </c>
      <c r="Z6" s="7" t="n">
        <f aca="false">Y6/X6</f>
        <v>0.0145062476973861</v>
      </c>
    </row>
    <row r="7" customFormat="false" ht="16.75" hidden="false" customHeight="false" outlineLevel="0" collapsed="false">
      <c r="A7" s="10"/>
      <c r="B7" s="4"/>
      <c r="C7" s="5" t="n">
        <v>2</v>
      </c>
      <c r="D7" s="0" t="n">
        <v>402.2</v>
      </c>
      <c r="E7" s="0" t="n">
        <v>389.9</v>
      </c>
      <c r="F7" s="0" t="n">
        <v>388.9</v>
      </c>
      <c r="G7" s="0" t="n">
        <v>392.9</v>
      </c>
      <c r="H7" s="0" t="n">
        <v>401.6</v>
      </c>
      <c r="I7" s="0" t="n">
        <v>403.8</v>
      </c>
      <c r="J7" s="0" t="n">
        <v>395.1</v>
      </c>
      <c r="K7" s="0" t="n">
        <v>393.5</v>
      </c>
      <c r="L7" s="0" t="n">
        <v>401.9</v>
      </c>
      <c r="M7" s="0" t="n">
        <v>400.4</v>
      </c>
      <c r="N7" s="0" t="n">
        <v>399.1</v>
      </c>
      <c r="O7" s="0" t="n">
        <v>397</v>
      </c>
      <c r="P7" s="0" t="n">
        <v>390.5</v>
      </c>
      <c r="Q7" s="0" t="n">
        <v>398.6</v>
      </c>
      <c r="R7" s="0" t="n">
        <v>396.6</v>
      </c>
      <c r="S7" s="0" t="n">
        <v>399.4</v>
      </c>
      <c r="T7" s="0" t="n">
        <v>403.1</v>
      </c>
      <c r="U7" s="0" t="n">
        <v>410.8</v>
      </c>
      <c r="V7" s="0" t="n">
        <v>403.4</v>
      </c>
      <c r="W7" s="0" t="n">
        <v>391.1</v>
      </c>
      <c r="X7" s="6" t="n">
        <f aca="false">AVERAGE(D7:W7)</f>
        <v>397.99</v>
      </c>
      <c r="Y7" s="7" t="n">
        <f aca="false">_xlfn.STDEV.S(D7:W7)</f>
        <v>5.70160642183181</v>
      </c>
      <c r="Z7" s="7" t="n">
        <f aca="false">Y7/X7</f>
        <v>0.0143260042258142</v>
      </c>
    </row>
    <row r="8" customFormat="false" ht="16.75" hidden="false" customHeight="false" outlineLevel="0" collapsed="false">
      <c r="A8" s="10"/>
      <c r="B8" s="4"/>
      <c r="C8" s="5" t="n">
        <v>4</v>
      </c>
      <c r="D8" s="0" t="n">
        <v>389.5</v>
      </c>
      <c r="E8" s="0" t="n">
        <v>379.3</v>
      </c>
      <c r="F8" s="0" t="n">
        <v>396.8</v>
      </c>
      <c r="G8" s="0" t="n">
        <v>392.5</v>
      </c>
      <c r="H8" s="0" t="n">
        <v>395.2</v>
      </c>
      <c r="I8" s="0" t="n">
        <v>394.8</v>
      </c>
      <c r="J8" s="0" t="n">
        <v>393.2</v>
      </c>
      <c r="K8" s="0" t="n">
        <v>386.1</v>
      </c>
      <c r="L8" s="0" t="n">
        <v>382.8</v>
      </c>
      <c r="M8" s="0" t="n">
        <v>397.1</v>
      </c>
      <c r="N8" s="0" t="n">
        <v>381.3</v>
      </c>
      <c r="O8" s="0" t="n">
        <v>394.2</v>
      </c>
      <c r="P8" s="0" t="n">
        <v>400.8</v>
      </c>
      <c r="Q8" s="0" t="n">
        <v>381.7</v>
      </c>
      <c r="R8" s="0" t="n">
        <v>383.2</v>
      </c>
      <c r="S8" s="0" t="n">
        <v>389.4</v>
      </c>
      <c r="T8" s="0" t="n">
        <v>379.5</v>
      </c>
      <c r="U8" s="0" t="n">
        <v>388.4</v>
      </c>
      <c r="V8" s="0" t="n">
        <v>381.4</v>
      </c>
      <c r="W8" s="0" t="n">
        <v>393.3</v>
      </c>
      <c r="X8" s="6" t="n">
        <f aca="false">AVERAGE(D8:W8)</f>
        <v>389.025</v>
      </c>
      <c r="Y8" s="7" t="n">
        <f aca="false">_xlfn.STDEV.S(D8:W8)</f>
        <v>6.68508748909408</v>
      </c>
      <c r="Z8" s="7" t="n">
        <f aca="false">Y8/X8</f>
        <v>0.0171842104982818</v>
      </c>
    </row>
    <row r="9" customFormat="false" ht="16.75" hidden="false" customHeight="false" outlineLevel="0" collapsed="false">
      <c r="A9" s="10"/>
      <c r="B9" s="4" t="n">
        <v>38</v>
      </c>
      <c r="C9" s="5" t="n">
        <v>0</v>
      </c>
      <c r="D9" s="0" t="n">
        <v>408.9</v>
      </c>
      <c r="E9" s="0" t="n">
        <v>393.3</v>
      </c>
      <c r="F9" s="0" t="n">
        <v>395.8</v>
      </c>
      <c r="G9" s="0" t="n">
        <v>405.1</v>
      </c>
      <c r="H9" s="0" t="n">
        <v>395.2</v>
      </c>
      <c r="I9" s="0" t="n">
        <v>405.5</v>
      </c>
      <c r="J9" s="0" t="n">
        <v>398.7</v>
      </c>
      <c r="K9" s="0" t="n">
        <v>411</v>
      </c>
      <c r="L9" s="0" t="n">
        <v>390.2</v>
      </c>
      <c r="M9" s="0" t="n">
        <v>414.4</v>
      </c>
      <c r="N9" s="0" t="n">
        <v>395</v>
      </c>
      <c r="O9" s="0" t="n">
        <v>408.2</v>
      </c>
      <c r="P9" s="0" t="n">
        <v>394.7</v>
      </c>
      <c r="Q9" s="0" t="n">
        <v>412.9</v>
      </c>
      <c r="R9" s="0" t="n">
        <v>397.8</v>
      </c>
      <c r="S9" s="0" t="n">
        <v>418.7</v>
      </c>
      <c r="T9" s="0" t="n">
        <v>401.9</v>
      </c>
      <c r="U9" s="0" t="n">
        <v>397</v>
      </c>
      <c r="V9" s="0" t="n">
        <v>393.9</v>
      </c>
      <c r="W9" s="0" t="n">
        <v>397.9</v>
      </c>
      <c r="X9" s="6" t="n">
        <f aca="false">AVERAGE(D9:W9)</f>
        <v>401.805</v>
      </c>
      <c r="Y9" s="7" t="n">
        <f aca="false">_xlfn.STDEV.S(D9:W9)</f>
        <v>8.19970955839932</v>
      </c>
      <c r="Z9" s="7" t="n">
        <f aca="false">Y9/X9</f>
        <v>0.0204071864670657</v>
      </c>
    </row>
    <row r="10" customFormat="false" ht="16.75" hidden="false" customHeight="false" outlineLevel="0" collapsed="false">
      <c r="A10" s="10"/>
      <c r="B10" s="4"/>
      <c r="C10" s="5" t="n">
        <v>2</v>
      </c>
      <c r="D10" s="0" t="n">
        <v>390.7</v>
      </c>
      <c r="E10" s="0" t="n">
        <v>399.7</v>
      </c>
      <c r="F10" s="0" t="n">
        <v>389.2</v>
      </c>
      <c r="G10" s="0" t="n">
        <v>401.4</v>
      </c>
      <c r="H10" s="0" t="n">
        <v>384.1</v>
      </c>
      <c r="I10" s="0" t="n">
        <v>392.8</v>
      </c>
      <c r="J10" s="0" t="n">
        <v>390.9</v>
      </c>
      <c r="K10" s="0" t="n">
        <v>384.9</v>
      </c>
      <c r="L10" s="0" t="n">
        <v>393</v>
      </c>
      <c r="M10" s="0" t="n">
        <v>404.6</v>
      </c>
      <c r="N10" s="0" t="n">
        <v>388.6</v>
      </c>
      <c r="O10" s="0" t="n">
        <v>396.6</v>
      </c>
      <c r="P10" s="0" t="n">
        <v>393.3</v>
      </c>
      <c r="Q10" s="0" t="n">
        <v>401.2</v>
      </c>
      <c r="R10" s="0" t="n">
        <v>398.8</v>
      </c>
      <c r="S10" s="0" t="n">
        <v>387</v>
      </c>
      <c r="T10" s="0" t="n">
        <v>391.7</v>
      </c>
      <c r="U10" s="0" t="n">
        <v>393</v>
      </c>
      <c r="V10" s="0" t="n">
        <v>390.8</v>
      </c>
      <c r="W10" s="0" t="n">
        <v>390.9</v>
      </c>
      <c r="X10" s="6" t="n">
        <f aca="false">AVERAGE(D10:W10)</f>
        <v>393.16</v>
      </c>
      <c r="Y10" s="7" t="n">
        <f aca="false">_xlfn.STDEV.S(D10:W10)</f>
        <v>5.61355502333415</v>
      </c>
      <c r="Z10" s="7" t="n">
        <f aca="false">Y10/X10</f>
        <v>0.0142780420778669</v>
      </c>
    </row>
    <row r="11" customFormat="false" ht="16.75" hidden="false" customHeight="false" outlineLevel="0" collapsed="false">
      <c r="A11" s="10"/>
      <c r="B11" s="4"/>
      <c r="C11" s="5" t="n">
        <v>4</v>
      </c>
      <c r="D11" s="0" t="n">
        <v>387.9</v>
      </c>
      <c r="E11" s="0" t="n">
        <v>392.5</v>
      </c>
      <c r="F11" s="0" t="n">
        <v>399.4</v>
      </c>
      <c r="G11" s="0" t="n">
        <v>395.1</v>
      </c>
      <c r="H11" s="0" t="n">
        <v>390.8</v>
      </c>
      <c r="I11" s="0" t="n">
        <v>385</v>
      </c>
      <c r="J11" s="0" t="n">
        <v>392.5</v>
      </c>
      <c r="K11" s="0" t="n">
        <v>385.3</v>
      </c>
      <c r="L11" s="0" t="n">
        <v>400.3</v>
      </c>
      <c r="M11" s="0" t="n">
        <v>385.8</v>
      </c>
      <c r="N11" s="0" t="n">
        <v>392.6</v>
      </c>
      <c r="O11" s="0" t="n">
        <v>388.1</v>
      </c>
      <c r="P11" s="0" t="n">
        <v>400.1</v>
      </c>
      <c r="Q11" s="0" t="n">
        <v>395.9</v>
      </c>
      <c r="R11" s="0" t="n">
        <v>375.3</v>
      </c>
      <c r="S11" s="0" t="n">
        <v>393.7</v>
      </c>
      <c r="T11" s="0" t="n">
        <v>384</v>
      </c>
      <c r="U11" s="0" t="n">
        <v>382.8</v>
      </c>
      <c r="V11" s="0" t="n">
        <v>386.4</v>
      </c>
      <c r="W11" s="0" t="n">
        <v>381.3</v>
      </c>
      <c r="X11" s="6" t="n">
        <f aca="false">AVERAGE(D11:W11)</f>
        <v>389.74</v>
      </c>
      <c r="Y11" s="7" t="n">
        <f aca="false">_xlfn.STDEV.S(D11:W11)</f>
        <v>6.70760762120147</v>
      </c>
      <c r="Z11" s="7" t="n">
        <f aca="false">Y11/X11</f>
        <v>0.0172104675455469</v>
      </c>
    </row>
    <row r="12" customFormat="false" ht="16.75" hidden="false" customHeight="false" outlineLevel="0" collapsed="false">
      <c r="A12" s="10"/>
      <c r="B12" s="4" t="n">
        <v>50</v>
      </c>
      <c r="C12" s="5" t="n">
        <v>0</v>
      </c>
      <c r="D12" s="0" t="n">
        <v>413.4</v>
      </c>
      <c r="E12" s="0" t="n">
        <v>400.7</v>
      </c>
      <c r="F12" s="0" t="n">
        <v>401</v>
      </c>
      <c r="G12" s="0" t="n">
        <v>388.7</v>
      </c>
      <c r="H12" s="0" t="n">
        <v>401.1</v>
      </c>
      <c r="I12" s="0" t="n">
        <v>399.6</v>
      </c>
      <c r="J12" s="0" t="n">
        <v>389.8</v>
      </c>
      <c r="K12" s="0" t="n">
        <v>388.3</v>
      </c>
      <c r="L12" s="0" t="n">
        <v>398.3</v>
      </c>
      <c r="M12" s="0" t="n">
        <v>384.9</v>
      </c>
      <c r="N12" s="0" t="n">
        <v>405.5</v>
      </c>
      <c r="O12" s="0" t="n">
        <v>393</v>
      </c>
      <c r="P12" s="0" t="n">
        <v>382.2</v>
      </c>
      <c r="Q12" s="0" t="n">
        <v>402.9</v>
      </c>
      <c r="R12" s="0" t="n">
        <v>399.8</v>
      </c>
      <c r="S12" s="0" t="n">
        <v>400</v>
      </c>
      <c r="T12" s="0" t="n">
        <v>403</v>
      </c>
      <c r="U12" s="0" t="n">
        <v>385.2</v>
      </c>
      <c r="V12" s="0" t="n">
        <v>393.5</v>
      </c>
      <c r="W12" s="0" t="n">
        <v>406.2</v>
      </c>
      <c r="X12" s="6" t="n">
        <f aca="false">AVERAGE(D12:W12)</f>
        <v>396.855</v>
      </c>
      <c r="Y12" s="7" t="n">
        <f aca="false">_xlfn.STDEV.S(D12:W12)</f>
        <v>8.26339263830159</v>
      </c>
      <c r="Z12" s="7" t="n">
        <f aca="false">Y12/X12</f>
        <v>0.02082219611269</v>
      </c>
    </row>
    <row r="13" customFormat="false" ht="16.75" hidden="false" customHeight="false" outlineLevel="0" collapsed="false">
      <c r="A13" s="10"/>
      <c r="B13" s="4"/>
      <c r="C13" s="5" t="n">
        <v>2</v>
      </c>
      <c r="D13" s="0" t="n">
        <v>383.6</v>
      </c>
      <c r="E13" s="0" t="n">
        <v>390.9</v>
      </c>
      <c r="F13" s="0" t="n">
        <v>394.6</v>
      </c>
      <c r="G13" s="0" t="n">
        <v>381.5</v>
      </c>
      <c r="H13" s="0" t="n">
        <v>378.4</v>
      </c>
      <c r="I13" s="0" t="n">
        <v>384.2</v>
      </c>
      <c r="J13" s="0" t="n">
        <v>382.3</v>
      </c>
      <c r="K13" s="0" t="n">
        <v>380.6</v>
      </c>
      <c r="L13" s="0" t="n">
        <v>396.4</v>
      </c>
      <c r="M13" s="0" t="n">
        <v>391.7</v>
      </c>
      <c r="N13" s="0" t="n">
        <v>386.1</v>
      </c>
      <c r="O13" s="0" t="n">
        <v>386.3</v>
      </c>
      <c r="P13" s="0" t="n">
        <v>388.2</v>
      </c>
      <c r="Q13" s="0" t="n">
        <v>373.1</v>
      </c>
      <c r="R13" s="0" t="n">
        <v>391.6</v>
      </c>
      <c r="S13" s="0" t="n">
        <v>384.9</v>
      </c>
      <c r="T13" s="0" t="n">
        <v>387.7</v>
      </c>
      <c r="U13" s="0" t="n">
        <v>397.5</v>
      </c>
      <c r="V13" s="0" t="n">
        <v>391.4</v>
      </c>
      <c r="W13" s="0" t="n">
        <v>389</v>
      </c>
      <c r="X13" s="6" t="n">
        <f aca="false">AVERAGE(D13:W13)</f>
        <v>387</v>
      </c>
      <c r="Y13" s="7" t="n">
        <f aca="false">_xlfn.STDEV.S(D13:W13)</f>
        <v>6.1801890620033</v>
      </c>
      <c r="Z13" s="7" t="n">
        <f aca="false">Y13/X13</f>
        <v>0.0159694807803703</v>
      </c>
    </row>
    <row r="14" customFormat="false" ht="16.75" hidden="false" customHeight="false" outlineLevel="0" collapsed="false">
      <c r="A14" s="10"/>
      <c r="B14" s="4"/>
      <c r="C14" s="5" t="n">
        <v>4</v>
      </c>
      <c r="D14" s="0" t="n">
        <v>373.2</v>
      </c>
      <c r="E14" s="0" t="n">
        <v>389.5</v>
      </c>
      <c r="F14" s="0" t="n">
        <v>397.5</v>
      </c>
      <c r="G14" s="0" t="n">
        <v>380.5</v>
      </c>
      <c r="H14" s="0" t="n">
        <v>373.5</v>
      </c>
      <c r="I14" s="0" t="n">
        <v>397.8</v>
      </c>
      <c r="J14" s="0" t="n">
        <v>393.4</v>
      </c>
      <c r="K14" s="0" t="n">
        <v>399.7</v>
      </c>
      <c r="L14" s="0" t="n">
        <v>380.9</v>
      </c>
      <c r="M14" s="0" t="n">
        <v>382.2</v>
      </c>
      <c r="N14" s="0" t="n">
        <v>372.4</v>
      </c>
      <c r="O14" s="0" t="n">
        <v>390</v>
      </c>
      <c r="P14" s="0" t="n">
        <v>396.6</v>
      </c>
      <c r="Q14" s="0" t="n">
        <v>389</v>
      </c>
      <c r="R14" s="0" t="n">
        <v>375.5</v>
      </c>
      <c r="S14" s="0" t="n">
        <v>389.5</v>
      </c>
      <c r="T14" s="0" t="n">
        <v>389.1</v>
      </c>
      <c r="U14" s="0" t="n">
        <v>390</v>
      </c>
      <c r="V14" s="0" t="n">
        <v>396</v>
      </c>
      <c r="W14" s="0" t="n">
        <v>380.9</v>
      </c>
      <c r="X14" s="6" t="n">
        <f aca="false">AVERAGE(D14:W14)</f>
        <v>386.86</v>
      </c>
      <c r="Y14" s="7" t="n">
        <f aca="false">_xlfn.STDEV.S(D14:W14)</f>
        <v>8.88116872346973</v>
      </c>
      <c r="Z14" s="7" t="n">
        <f aca="false">Y14/X14</f>
        <v>0.0229570612714412</v>
      </c>
    </row>
    <row r="15" customFormat="false" ht="16.75" hidden="false" customHeight="false" outlineLevel="0" collapsed="false">
      <c r="A15" s="10"/>
      <c r="B15" s="4" t="n">
        <v>75</v>
      </c>
      <c r="C15" s="5" t="n">
        <v>0</v>
      </c>
      <c r="D15" s="0" t="n">
        <v>402.5</v>
      </c>
      <c r="E15" s="0" t="n">
        <v>410.9</v>
      </c>
      <c r="F15" s="0" t="n">
        <v>390</v>
      </c>
      <c r="G15" s="0" t="n">
        <v>398</v>
      </c>
      <c r="H15" s="0" t="n">
        <v>387.4</v>
      </c>
      <c r="I15" s="0" t="n">
        <v>390.3</v>
      </c>
      <c r="J15" s="0" t="n">
        <v>389</v>
      </c>
      <c r="K15" s="0" t="n">
        <v>411.7</v>
      </c>
      <c r="L15" s="0" t="n">
        <v>381</v>
      </c>
      <c r="M15" s="0" t="n">
        <v>399.8</v>
      </c>
      <c r="N15" s="0" t="n">
        <v>381.1</v>
      </c>
      <c r="O15" s="0" t="n">
        <v>404</v>
      </c>
      <c r="P15" s="0" t="n">
        <v>393.5</v>
      </c>
      <c r="Q15" s="0" t="n">
        <v>402.7</v>
      </c>
      <c r="R15" s="0" t="n">
        <v>407.2</v>
      </c>
      <c r="S15" s="0" t="n">
        <v>402.3</v>
      </c>
      <c r="T15" s="0" t="n">
        <v>404.1</v>
      </c>
      <c r="U15" s="0" t="n">
        <v>404</v>
      </c>
      <c r="V15" s="0" t="n">
        <v>395.6</v>
      </c>
      <c r="W15" s="0" t="n">
        <v>408.4</v>
      </c>
      <c r="X15" s="6" t="n">
        <f aca="false">AVERAGE(D15:W15)</f>
        <v>398.175</v>
      </c>
      <c r="Y15" s="7" t="n">
        <f aca="false">_xlfn.STDEV.S(D15:W15)</f>
        <v>9.28166698956944</v>
      </c>
      <c r="Z15" s="7" t="n">
        <f aca="false">Y15/X15</f>
        <v>0.0233105217293136</v>
      </c>
    </row>
    <row r="16" customFormat="false" ht="16.75" hidden="false" customHeight="false" outlineLevel="0" collapsed="false">
      <c r="A16" s="10"/>
      <c r="B16" s="4"/>
      <c r="C16" s="5" t="n">
        <v>2</v>
      </c>
      <c r="D16" s="0" t="n">
        <v>402.1</v>
      </c>
      <c r="E16" s="0" t="n">
        <v>396.7</v>
      </c>
      <c r="F16" s="0" t="n">
        <v>396.1</v>
      </c>
      <c r="G16" s="0" t="n">
        <v>401</v>
      </c>
      <c r="H16" s="0" t="n">
        <v>398.7</v>
      </c>
      <c r="I16" s="0" t="n">
        <v>390.5</v>
      </c>
      <c r="J16" s="0" t="n">
        <v>404.7</v>
      </c>
      <c r="K16" s="0" t="n">
        <v>401.3</v>
      </c>
      <c r="L16" s="0" t="n">
        <v>399.8</v>
      </c>
      <c r="M16" s="0" t="n">
        <v>394.8</v>
      </c>
      <c r="N16" s="0" t="n">
        <v>401.1</v>
      </c>
      <c r="O16" s="0" t="n">
        <v>387.9</v>
      </c>
      <c r="P16" s="0" t="n">
        <v>387.4</v>
      </c>
      <c r="Q16" s="0" t="n">
        <v>395.4</v>
      </c>
      <c r="R16" s="0" t="n">
        <v>398.5</v>
      </c>
      <c r="S16" s="0" t="n">
        <v>399.5</v>
      </c>
      <c r="T16" s="0" t="n">
        <v>379.9</v>
      </c>
      <c r="U16" s="0" t="n">
        <v>397.4</v>
      </c>
      <c r="V16" s="0" t="n">
        <v>401.4</v>
      </c>
      <c r="W16" s="0" t="n">
        <v>411.8</v>
      </c>
      <c r="X16" s="6" t="n">
        <f aca="false">AVERAGE(D16:W16)</f>
        <v>397.3</v>
      </c>
      <c r="Y16" s="7" t="n">
        <f aca="false">_xlfn.STDEV.S(D16:W16)</f>
        <v>6.92257937933239</v>
      </c>
      <c r="Z16" s="7" t="n">
        <f aca="false">Y16/X16</f>
        <v>0.0174240608591301</v>
      </c>
    </row>
    <row r="17" customFormat="false" ht="16.75" hidden="false" customHeight="false" outlineLevel="0" collapsed="false">
      <c r="A17" s="10"/>
      <c r="B17" s="4"/>
      <c r="C17" s="5" t="n">
        <v>4</v>
      </c>
      <c r="D17" s="0" t="n">
        <v>393.3</v>
      </c>
      <c r="E17" s="0" t="n">
        <v>392.2</v>
      </c>
      <c r="F17" s="0" t="n">
        <v>393.7</v>
      </c>
      <c r="G17" s="0" t="n">
        <v>393.8</v>
      </c>
      <c r="H17" s="0" t="n">
        <v>387.1</v>
      </c>
      <c r="I17" s="0" t="n">
        <v>392.9</v>
      </c>
      <c r="J17" s="0" t="n">
        <v>399.4</v>
      </c>
      <c r="K17" s="0" t="n">
        <v>387.7</v>
      </c>
      <c r="L17" s="0" t="n">
        <v>393.6</v>
      </c>
      <c r="M17" s="0" t="n">
        <v>389.7</v>
      </c>
      <c r="N17" s="0" t="n">
        <v>399.1</v>
      </c>
      <c r="O17" s="0" t="n">
        <v>392</v>
      </c>
      <c r="P17" s="0" t="n">
        <v>393.8</v>
      </c>
      <c r="Q17" s="0" t="n">
        <v>396.3</v>
      </c>
      <c r="R17" s="0" t="n">
        <v>389.7</v>
      </c>
      <c r="S17" s="0" t="n">
        <v>379.8</v>
      </c>
      <c r="T17" s="0" t="n">
        <v>380</v>
      </c>
      <c r="U17" s="0" t="n">
        <v>386.1</v>
      </c>
      <c r="V17" s="0" t="n">
        <v>399.6</v>
      </c>
      <c r="W17" s="0" t="n">
        <v>387.4</v>
      </c>
      <c r="X17" s="6" t="n">
        <f aca="false">AVERAGE(D17:W17)</f>
        <v>391.36</v>
      </c>
      <c r="Y17" s="7" t="n">
        <f aca="false">_xlfn.STDEV.S(D17:W17)</f>
        <v>5.5705428252928</v>
      </c>
      <c r="Z17" s="7" t="n">
        <f aca="false">Y17/X17</f>
        <v>0.0142338073009321</v>
      </c>
    </row>
    <row r="18" customFormat="false" ht="16.75" hidden="false" customHeight="false" outlineLevel="0" collapsed="false">
      <c r="A18" s="10"/>
      <c r="B18" s="4" t="n">
        <v>100</v>
      </c>
      <c r="C18" s="5" t="n">
        <v>0</v>
      </c>
      <c r="D18" s="0" t="n">
        <v>398.1</v>
      </c>
      <c r="E18" s="0" t="n">
        <v>408.4</v>
      </c>
      <c r="F18" s="0" t="n">
        <v>403</v>
      </c>
      <c r="G18" s="0" t="n">
        <v>398.6</v>
      </c>
      <c r="H18" s="0" t="n">
        <v>399.7</v>
      </c>
      <c r="I18" s="0" t="n">
        <v>400.8</v>
      </c>
      <c r="J18" s="0" t="n">
        <v>399.1</v>
      </c>
      <c r="K18" s="0" t="n">
        <v>386.6</v>
      </c>
      <c r="L18" s="0" t="n">
        <v>403.2</v>
      </c>
      <c r="M18" s="0" t="n">
        <v>398.1</v>
      </c>
      <c r="N18" s="0" t="n">
        <v>398.8</v>
      </c>
      <c r="O18" s="0" t="n">
        <v>404.3</v>
      </c>
      <c r="P18" s="0" t="n">
        <v>407.2</v>
      </c>
      <c r="Q18" s="0" t="n">
        <v>401.9</v>
      </c>
      <c r="R18" s="0" t="n">
        <v>396.6</v>
      </c>
      <c r="S18" s="0" t="n">
        <v>405.4</v>
      </c>
      <c r="T18" s="0" t="n">
        <v>404.1</v>
      </c>
      <c r="U18" s="0" t="n">
        <v>409.3</v>
      </c>
      <c r="V18" s="0" t="n">
        <v>391.8</v>
      </c>
      <c r="W18" s="0" t="n">
        <v>396.4</v>
      </c>
      <c r="X18" s="6" t="n">
        <f aca="false">AVERAGE(D18:W18)</f>
        <v>400.57</v>
      </c>
      <c r="Y18" s="7" t="n">
        <f aca="false">_xlfn.STDEV.S(D18:W18)</f>
        <v>5.49249248376458</v>
      </c>
      <c r="Z18" s="7" t="n">
        <f aca="false">Y18/X18</f>
        <v>0.0137116920482427</v>
      </c>
    </row>
    <row r="19" customFormat="false" ht="16.75" hidden="false" customHeight="false" outlineLevel="0" collapsed="false">
      <c r="A19" s="10"/>
      <c r="B19" s="4"/>
      <c r="C19" s="5" t="n">
        <v>2</v>
      </c>
      <c r="D19" s="0" t="n">
        <v>402.3</v>
      </c>
      <c r="E19" s="0" t="n">
        <v>411.3</v>
      </c>
      <c r="F19" s="0" t="n">
        <v>393.3</v>
      </c>
      <c r="G19" s="0" t="n">
        <v>396.9</v>
      </c>
      <c r="H19" s="0" t="n">
        <v>405.2</v>
      </c>
      <c r="I19" s="0" t="n">
        <v>397.1</v>
      </c>
      <c r="J19" s="0" t="n">
        <v>398.1</v>
      </c>
      <c r="K19" s="0" t="n">
        <v>395.2</v>
      </c>
      <c r="L19" s="0" t="n">
        <v>392.8</v>
      </c>
      <c r="M19" s="0" t="n">
        <v>405.3</v>
      </c>
      <c r="N19" s="0" t="n">
        <v>397.8</v>
      </c>
      <c r="O19" s="0" t="n">
        <v>398.3</v>
      </c>
      <c r="P19" s="0" t="n">
        <v>403.3</v>
      </c>
      <c r="Q19" s="0" t="n">
        <v>380.1</v>
      </c>
      <c r="R19" s="0" t="n">
        <v>399.2</v>
      </c>
      <c r="S19" s="0" t="n">
        <v>399.4</v>
      </c>
      <c r="T19" s="0" t="n">
        <v>396.9</v>
      </c>
      <c r="U19" s="0" t="n">
        <v>398.1</v>
      </c>
      <c r="V19" s="0" t="n">
        <v>397.1</v>
      </c>
      <c r="W19" s="0" t="n">
        <v>414.1</v>
      </c>
      <c r="X19" s="6" t="n">
        <f aca="false">AVERAGE(D19:W19)</f>
        <v>399.09</v>
      </c>
      <c r="Y19" s="7" t="n">
        <f aca="false">_xlfn.STDEV.S(D19:W19)</f>
        <v>7.06741224137051</v>
      </c>
      <c r="Z19" s="7" t="n">
        <f aca="false">Y19/X19</f>
        <v>0.0177088181647511</v>
      </c>
    </row>
    <row r="20" customFormat="false" ht="16.75" hidden="false" customHeight="false" outlineLevel="0" collapsed="false">
      <c r="A20" s="10"/>
      <c r="B20" s="4"/>
      <c r="C20" s="5" t="n">
        <v>4</v>
      </c>
      <c r="D20" s="0" t="n">
        <v>409.3</v>
      </c>
      <c r="E20" s="0" t="n">
        <v>396.4</v>
      </c>
      <c r="F20" s="0" t="n">
        <v>403.6</v>
      </c>
      <c r="G20" s="0" t="n">
        <v>400.9</v>
      </c>
      <c r="H20" s="0" t="n">
        <v>404.7</v>
      </c>
      <c r="I20" s="0" t="n">
        <v>395</v>
      </c>
      <c r="J20" s="0" t="n">
        <v>407</v>
      </c>
      <c r="K20" s="0" t="n">
        <v>411.8</v>
      </c>
      <c r="L20" s="0" t="n">
        <v>400.4</v>
      </c>
      <c r="M20" s="0" t="n">
        <v>402.1</v>
      </c>
      <c r="N20" s="0" t="n">
        <v>400.8</v>
      </c>
      <c r="O20" s="0" t="n">
        <v>400.7</v>
      </c>
      <c r="P20" s="0" t="n">
        <v>401.1</v>
      </c>
      <c r="Q20" s="0" t="n">
        <v>398.4</v>
      </c>
      <c r="R20" s="0" t="n">
        <v>402.5</v>
      </c>
      <c r="S20" s="0" t="n">
        <v>404.6</v>
      </c>
      <c r="T20" s="0" t="n">
        <v>406.6</v>
      </c>
      <c r="U20" s="0" t="n">
        <v>394.1</v>
      </c>
      <c r="V20" s="0" t="n">
        <v>393.2</v>
      </c>
      <c r="W20" s="0" t="n">
        <v>405.6</v>
      </c>
      <c r="X20" s="6" t="n">
        <f aca="false">AVERAGE(D20:W20)</f>
        <v>401.94</v>
      </c>
      <c r="Y20" s="7" t="n">
        <f aca="false">_xlfn.STDEV.S(D20:W20)</f>
        <v>4.95308516296449</v>
      </c>
      <c r="Z20" s="7" t="n">
        <f aca="false">Y20/X20</f>
        <v>0.0123229466163221</v>
      </c>
    </row>
    <row r="21" customFormat="false" ht="16.75" hidden="false" customHeight="false" outlineLevel="0" collapsed="false">
      <c r="A21" s="10"/>
      <c r="B21" s="4" t="n">
        <v>150</v>
      </c>
      <c r="C21" s="5" t="n">
        <v>0</v>
      </c>
      <c r="D21" s="0" t="n">
        <v>395.7</v>
      </c>
      <c r="E21" s="0" t="n">
        <v>393.6</v>
      </c>
      <c r="F21" s="0" t="n">
        <v>385.5</v>
      </c>
      <c r="G21" s="0" t="n">
        <v>394.8</v>
      </c>
      <c r="H21" s="0" t="n">
        <v>393.5</v>
      </c>
      <c r="I21" s="0" t="n">
        <v>386.9</v>
      </c>
      <c r="J21" s="0" t="n">
        <v>384.1</v>
      </c>
      <c r="K21" s="0" t="n">
        <v>385</v>
      </c>
      <c r="L21" s="0" t="n">
        <v>393.4</v>
      </c>
      <c r="M21" s="0" t="n">
        <v>388.7</v>
      </c>
      <c r="N21" s="0" t="n">
        <v>393.2</v>
      </c>
      <c r="O21" s="0" t="n">
        <v>394.5</v>
      </c>
      <c r="P21" s="0" t="n">
        <v>388.9</v>
      </c>
      <c r="Q21" s="0" t="n">
        <v>386.8</v>
      </c>
      <c r="R21" s="0" t="n">
        <v>393</v>
      </c>
      <c r="S21" s="0" t="n">
        <v>390.3</v>
      </c>
      <c r="T21" s="0" t="n">
        <v>389.3</v>
      </c>
      <c r="U21" s="0" t="n">
        <v>397.2</v>
      </c>
      <c r="V21" s="0" t="n">
        <v>393.9</v>
      </c>
      <c r="W21" s="0" t="n">
        <v>401</v>
      </c>
      <c r="X21" s="6" t="n">
        <f aca="false">AVERAGE(D21:W21)</f>
        <v>391.465</v>
      </c>
      <c r="Y21" s="7" t="n">
        <f aca="false">_xlfn.STDEV.S(D21:W21)</f>
        <v>4.47393327480064</v>
      </c>
      <c r="Z21" s="7" t="n">
        <f aca="false">Y21/X21</f>
        <v>0.0114286929222297</v>
      </c>
    </row>
    <row r="22" customFormat="false" ht="16.75" hidden="false" customHeight="false" outlineLevel="0" collapsed="false">
      <c r="A22" s="10"/>
      <c r="B22" s="4"/>
      <c r="C22" s="5" t="n">
        <v>2</v>
      </c>
      <c r="D22" s="0" t="n">
        <v>398.3</v>
      </c>
      <c r="E22" s="0" t="n">
        <v>389.7</v>
      </c>
      <c r="F22" s="0" t="n">
        <v>388.2</v>
      </c>
      <c r="G22" s="0" t="n">
        <v>393.4</v>
      </c>
      <c r="H22" s="0" t="n">
        <v>392.5</v>
      </c>
      <c r="I22" s="0" t="n">
        <v>386.1</v>
      </c>
      <c r="J22" s="0" t="n">
        <v>393.3</v>
      </c>
      <c r="K22" s="0" t="n">
        <v>393.5</v>
      </c>
      <c r="L22" s="0" t="n">
        <v>384.8</v>
      </c>
      <c r="M22" s="0" t="n">
        <v>390.9</v>
      </c>
      <c r="N22" s="0" t="n">
        <v>384.2</v>
      </c>
      <c r="O22" s="0" t="n">
        <v>386.7</v>
      </c>
      <c r="P22" s="0" t="n">
        <v>388</v>
      </c>
      <c r="Q22" s="0" t="n">
        <v>385.1</v>
      </c>
      <c r="R22" s="0" t="n">
        <v>388.2</v>
      </c>
      <c r="S22" s="0" t="n">
        <v>386.9</v>
      </c>
      <c r="T22" s="0" t="n">
        <v>386.4</v>
      </c>
      <c r="U22" s="0" t="n">
        <v>383.3</v>
      </c>
      <c r="V22" s="0" t="n">
        <v>389.3</v>
      </c>
      <c r="W22" s="0" t="n">
        <v>380.4</v>
      </c>
      <c r="X22" s="6" t="n">
        <f aca="false">AVERAGE(D22:W22)</f>
        <v>388.46</v>
      </c>
      <c r="Y22" s="7" t="n">
        <f aca="false">_xlfn.STDEV.S(D22:W22)</f>
        <v>4.25928088815595</v>
      </c>
      <c r="Z22" s="7" t="n">
        <f aca="false">Y22/X22</f>
        <v>0.0109645288785356</v>
      </c>
    </row>
    <row r="23" customFormat="false" ht="16.75" hidden="false" customHeight="false" outlineLevel="0" collapsed="false">
      <c r="A23" s="10"/>
      <c r="B23" s="4"/>
      <c r="C23" s="5" t="n">
        <v>4</v>
      </c>
      <c r="D23" s="0" t="n">
        <v>420</v>
      </c>
      <c r="E23" s="0" t="n">
        <v>400.8</v>
      </c>
      <c r="F23" s="0" t="n">
        <v>409</v>
      </c>
      <c r="G23" s="0" t="n">
        <v>421.6</v>
      </c>
      <c r="H23" s="0" t="n">
        <v>427.5</v>
      </c>
      <c r="I23" s="0" t="n">
        <v>427.8</v>
      </c>
      <c r="J23" s="0" t="n">
        <v>390.9</v>
      </c>
      <c r="K23" s="0" t="n">
        <v>420.3</v>
      </c>
      <c r="L23" s="0" t="n">
        <v>421.6</v>
      </c>
      <c r="M23" s="0" t="n">
        <v>430.1</v>
      </c>
      <c r="N23" s="0" t="n">
        <v>432.6</v>
      </c>
      <c r="O23" s="0" t="n">
        <v>420.8</v>
      </c>
      <c r="P23" s="0" t="n">
        <v>414.3</v>
      </c>
      <c r="Q23" s="0" t="n">
        <v>418.3</v>
      </c>
      <c r="R23" s="0" t="n">
        <v>410.4</v>
      </c>
      <c r="S23" s="0" t="n">
        <v>418.2</v>
      </c>
      <c r="T23" s="0" t="n">
        <v>425.6</v>
      </c>
      <c r="U23" s="0" t="n">
        <v>404.4</v>
      </c>
      <c r="V23" s="0" t="n">
        <v>430.3</v>
      </c>
      <c r="W23" s="0" t="n">
        <v>422.6</v>
      </c>
      <c r="X23" s="6" t="n">
        <f aca="false">AVERAGE(D23:W23)</f>
        <v>418.355</v>
      </c>
      <c r="Y23" s="7" t="n">
        <f aca="false">_xlfn.STDEV.S(D23:W23)</f>
        <v>10.7223070475086</v>
      </c>
      <c r="Z23" s="7" t="n">
        <f aca="false">Y23/X23</f>
        <v>0.0256296854286637</v>
      </c>
    </row>
    <row r="24" customFormat="false" ht="16.75" hidden="false" customHeight="false" outlineLevel="0" collapsed="false">
      <c r="A24" s="11"/>
      <c r="B24" s="3"/>
      <c r="C24" s="5"/>
      <c r="X24" s="6"/>
      <c r="Y24" s="7"/>
      <c r="Z24" s="7"/>
    </row>
    <row r="25" customFormat="false" ht="15" hidden="false" customHeight="true" outlineLevel="0" collapsed="false">
      <c r="A25" s="1" t="s">
        <v>40</v>
      </c>
      <c r="B25" s="1"/>
      <c r="C25" s="1"/>
    </row>
    <row r="26" customFormat="false" ht="15" hidden="false" customHeight="false" outlineLevel="0" collapsed="false">
      <c r="A26" s="1"/>
      <c r="B26" s="1"/>
      <c r="C26" s="1"/>
      <c r="D26" s="2" t="s">
        <v>27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9.85" hidden="false" customHeight="false" outlineLevel="0" collapsed="false">
      <c r="A29" s="3" t="s">
        <v>2</v>
      </c>
      <c r="B29" s="3" t="s">
        <v>3</v>
      </c>
      <c r="C29" s="3" t="s">
        <v>41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  <c r="I29" s="3" t="s">
        <v>9</v>
      </c>
      <c r="J29" s="3" t="s">
        <v>10</v>
      </c>
      <c r="K29" s="3" t="s">
        <v>11</v>
      </c>
      <c r="L29" s="3" t="s">
        <v>12</v>
      </c>
      <c r="M29" s="3" t="s">
        <v>13</v>
      </c>
      <c r="N29" s="3" t="s">
        <v>14</v>
      </c>
      <c r="O29" s="3" t="s">
        <v>15</v>
      </c>
      <c r="P29" s="3" t="s">
        <v>16</v>
      </c>
      <c r="Q29" s="3" t="s">
        <v>17</v>
      </c>
      <c r="R29" s="3" t="s">
        <v>18</v>
      </c>
      <c r="S29" s="3" t="s">
        <v>19</v>
      </c>
      <c r="T29" s="3" t="s">
        <v>20</v>
      </c>
      <c r="U29" s="3" t="s">
        <v>21</v>
      </c>
      <c r="V29" s="3" t="s">
        <v>22</v>
      </c>
      <c r="W29" s="3" t="s">
        <v>23</v>
      </c>
      <c r="X29" s="3" t="s">
        <v>24</v>
      </c>
      <c r="Y29" s="3" t="s">
        <v>25</v>
      </c>
      <c r="Z29" s="3" t="s">
        <v>26</v>
      </c>
    </row>
    <row r="30" customFormat="false" ht="16.75" hidden="false" customHeight="false" outlineLevel="0" collapsed="false">
      <c r="A30" s="10" t="n">
        <v>10</v>
      </c>
      <c r="B30" s="4" t="n">
        <v>25</v>
      </c>
      <c r="C30" s="5" t="n">
        <v>0</v>
      </c>
      <c r="D30" s="0" t="n">
        <v>421.2</v>
      </c>
      <c r="E30" s="0" t="n">
        <v>408.2</v>
      </c>
      <c r="F30" s="0" t="n">
        <v>409.5</v>
      </c>
      <c r="G30" s="0" t="n">
        <v>415.6</v>
      </c>
      <c r="H30" s="0" t="n">
        <v>408.4</v>
      </c>
      <c r="I30" s="0" t="n">
        <v>407.1</v>
      </c>
      <c r="J30" s="0" t="n">
        <v>418.1</v>
      </c>
      <c r="K30" s="0" t="n">
        <v>408.7</v>
      </c>
      <c r="L30" s="0" t="n">
        <v>410.3</v>
      </c>
      <c r="M30" s="0" t="n">
        <v>407.7</v>
      </c>
      <c r="N30" s="0" t="n">
        <v>410.4</v>
      </c>
      <c r="O30" s="0" t="n">
        <v>406.3</v>
      </c>
      <c r="P30" s="0" t="n">
        <v>421.4</v>
      </c>
      <c r="Q30" s="0" t="n">
        <v>403.1</v>
      </c>
      <c r="R30" s="0" t="n">
        <v>405.1</v>
      </c>
      <c r="S30" s="0" t="n">
        <v>413.2</v>
      </c>
      <c r="T30" s="0" t="n">
        <v>410.6</v>
      </c>
      <c r="U30" s="0" t="n">
        <v>422</v>
      </c>
      <c r="V30" s="0" t="n">
        <v>406.5</v>
      </c>
      <c r="W30" s="0" t="n">
        <v>408.1</v>
      </c>
      <c r="X30" s="6" t="n">
        <f aca="false">AVERAGE(D30:W30)</f>
        <v>411.075</v>
      </c>
      <c r="Y30" s="7" t="n">
        <f aca="false">_xlfn.STDEV.S(D30:W30)</f>
        <v>5.65088488645805</v>
      </c>
      <c r="Z30" s="7" t="n">
        <f aca="false">Y30/X30</f>
        <v>0.0137466031416604</v>
      </c>
    </row>
    <row r="31" customFormat="false" ht="16.75" hidden="false" customHeight="false" outlineLevel="0" collapsed="false">
      <c r="A31" s="10"/>
      <c r="B31" s="4"/>
      <c r="C31" s="5" t="n">
        <v>2</v>
      </c>
      <c r="D31" s="0" t="n">
        <v>404.4</v>
      </c>
      <c r="E31" s="0" t="n">
        <v>406.5</v>
      </c>
      <c r="F31" s="0" t="n">
        <v>407.8</v>
      </c>
      <c r="G31" s="0" t="n">
        <v>406.2</v>
      </c>
      <c r="H31" s="0" t="n">
        <v>409.3</v>
      </c>
      <c r="I31" s="0" t="n">
        <v>424.6</v>
      </c>
      <c r="J31" s="0" t="n">
        <v>405.9</v>
      </c>
      <c r="K31" s="0" t="n">
        <v>405.8</v>
      </c>
      <c r="L31" s="0" t="n">
        <v>394.2</v>
      </c>
      <c r="M31" s="0" t="n">
        <v>394.7</v>
      </c>
      <c r="N31" s="0" t="n">
        <v>401.2</v>
      </c>
      <c r="O31" s="0" t="n">
        <v>404.7</v>
      </c>
      <c r="P31" s="0" t="n">
        <v>410</v>
      </c>
      <c r="Q31" s="0" t="n">
        <v>402.9</v>
      </c>
      <c r="R31" s="0" t="n">
        <v>404.2</v>
      </c>
      <c r="S31" s="0" t="n">
        <v>392.7</v>
      </c>
      <c r="T31" s="0" t="n">
        <v>414.6</v>
      </c>
      <c r="U31" s="0" t="n">
        <v>410.9</v>
      </c>
      <c r="V31" s="0" t="n">
        <v>410.3</v>
      </c>
      <c r="W31" s="0" t="n">
        <v>397.1</v>
      </c>
      <c r="X31" s="6" t="n">
        <f aca="false">AVERAGE(D31:W31)</f>
        <v>405.4</v>
      </c>
      <c r="Y31" s="7" t="n">
        <f aca="false">_xlfn.STDEV.S(D31:W31)</f>
        <v>7.42988276453518</v>
      </c>
      <c r="Z31" s="7" t="n">
        <f aca="false">Y31/X31</f>
        <v>0.018327288516367</v>
      </c>
    </row>
    <row r="32" customFormat="false" ht="16.75" hidden="false" customHeight="false" outlineLevel="0" collapsed="false">
      <c r="A32" s="10"/>
      <c r="B32" s="4"/>
      <c r="C32" s="5" t="n">
        <v>4</v>
      </c>
      <c r="D32" s="0" t="n">
        <v>400.2</v>
      </c>
      <c r="E32" s="0" t="n">
        <v>403.3</v>
      </c>
      <c r="F32" s="0" t="n">
        <v>399</v>
      </c>
      <c r="G32" s="0" t="n">
        <v>413.6</v>
      </c>
      <c r="H32" s="0" t="n">
        <v>403.5</v>
      </c>
      <c r="I32" s="0" t="n">
        <v>397.9</v>
      </c>
      <c r="J32" s="0" t="n">
        <v>406.1</v>
      </c>
      <c r="K32" s="0" t="n">
        <v>408</v>
      </c>
      <c r="L32" s="0" t="n">
        <v>410.3</v>
      </c>
      <c r="M32" s="0" t="n">
        <v>393</v>
      </c>
      <c r="N32" s="0" t="n">
        <v>407.3</v>
      </c>
      <c r="O32" s="0" t="n">
        <v>393.1</v>
      </c>
      <c r="P32" s="0" t="n">
        <v>400.6</v>
      </c>
      <c r="Q32" s="0" t="n">
        <v>411</v>
      </c>
      <c r="R32" s="0" t="n">
        <v>401.7</v>
      </c>
      <c r="S32" s="0" t="n">
        <v>413</v>
      </c>
      <c r="T32" s="0" t="n">
        <v>409.4</v>
      </c>
      <c r="U32" s="0" t="n">
        <v>403.3</v>
      </c>
      <c r="V32" s="0" t="n">
        <v>404.6</v>
      </c>
      <c r="W32" s="0" t="n">
        <v>406.8</v>
      </c>
      <c r="X32" s="6" t="n">
        <f aca="false">AVERAGE(D32:W32)</f>
        <v>404.285</v>
      </c>
      <c r="Y32" s="7" t="n">
        <f aca="false">_xlfn.STDEV.S(D32:W32)</f>
        <v>5.90907197273374</v>
      </c>
      <c r="Z32" s="7" t="n">
        <f aca="false">Y32/X32</f>
        <v>0.0146161049080073</v>
      </c>
    </row>
    <row r="33" customFormat="false" ht="16.75" hidden="false" customHeight="false" outlineLevel="0" collapsed="false">
      <c r="A33" s="10"/>
      <c r="B33" s="4" t="n">
        <v>38</v>
      </c>
      <c r="C33" s="5" t="n">
        <v>0</v>
      </c>
      <c r="D33" s="0" t="n">
        <v>417.6</v>
      </c>
      <c r="E33" s="0" t="n">
        <v>413.7</v>
      </c>
      <c r="F33" s="0" t="n">
        <v>424.7</v>
      </c>
      <c r="G33" s="0" t="n">
        <v>425</v>
      </c>
      <c r="H33" s="0" t="n">
        <v>413.2</v>
      </c>
      <c r="I33" s="0" t="n">
        <v>419.9</v>
      </c>
      <c r="J33" s="0" t="n">
        <v>408.9</v>
      </c>
      <c r="K33" s="0" t="n">
        <v>417.5</v>
      </c>
      <c r="L33" s="0" t="n">
        <v>405.8</v>
      </c>
      <c r="M33" s="0" t="n">
        <v>422.3</v>
      </c>
      <c r="N33" s="0" t="n">
        <v>415.6</v>
      </c>
      <c r="O33" s="0" t="n">
        <v>414.3</v>
      </c>
      <c r="P33" s="0" t="n">
        <v>417.8</v>
      </c>
      <c r="Q33" s="0" t="n">
        <v>413.9</v>
      </c>
      <c r="R33" s="0" t="n">
        <v>425.5</v>
      </c>
      <c r="S33" s="0" t="n">
        <v>419</v>
      </c>
      <c r="T33" s="0" t="n">
        <v>417.7</v>
      </c>
      <c r="U33" s="0" t="n">
        <v>422</v>
      </c>
      <c r="V33" s="0" t="n">
        <v>420.3</v>
      </c>
      <c r="W33" s="0" t="n">
        <v>414</v>
      </c>
      <c r="X33" s="6" t="n">
        <f aca="false">AVERAGE(D33:W33)</f>
        <v>417.435</v>
      </c>
      <c r="Y33" s="7" t="n">
        <f aca="false">_xlfn.STDEV.S(D33:W33)</f>
        <v>5.20184936749473</v>
      </c>
      <c r="Z33" s="7" t="n">
        <f aca="false">Y33/X33</f>
        <v>0.0124614595505761</v>
      </c>
    </row>
    <row r="34" customFormat="false" ht="16.75" hidden="false" customHeight="false" outlineLevel="0" collapsed="false">
      <c r="A34" s="10"/>
      <c r="B34" s="4"/>
      <c r="C34" s="5" t="n">
        <v>2</v>
      </c>
      <c r="D34" s="0" t="n">
        <v>408.8</v>
      </c>
      <c r="E34" s="0" t="n">
        <v>406.8</v>
      </c>
      <c r="F34" s="0" t="n">
        <v>404.8</v>
      </c>
      <c r="G34" s="0" t="n">
        <v>419</v>
      </c>
      <c r="H34" s="0" t="n">
        <v>411.7</v>
      </c>
      <c r="I34" s="0" t="n">
        <v>413.9</v>
      </c>
      <c r="J34" s="0" t="n">
        <v>407.7</v>
      </c>
      <c r="K34" s="0" t="n">
        <v>401.5</v>
      </c>
      <c r="L34" s="0" t="n">
        <v>417.7</v>
      </c>
      <c r="M34" s="0" t="n">
        <v>414.2</v>
      </c>
      <c r="N34" s="0" t="n">
        <v>408</v>
      </c>
      <c r="O34" s="0" t="n">
        <v>407.9</v>
      </c>
      <c r="P34" s="0" t="n">
        <v>407.7</v>
      </c>
      <c r="Q34" s="0" t="n">
        <v>406.1</v>
      </c>
      <c r="R34" s="0" t="n">
        <v>412.5</v>
      </c>
      <c r="S34" s="0" t="n">
        <v>412.4</v>
      </c>
      <c r="T34" s="0" t="n">
        <v>408.4</v>
      </c>
      <c r="U34" s="0" t="n">
        <v>405.8</v>
      </c>
      <c r="V34" s="0" t="n">
        <v>412.8</v>
      </c>
      <c r="W34" s="0" t="n">
        <v>418.2</v>
      </c>
      <c r="X34" s="6" t="n">
        <f aca="false">AVERAGE(D34:W34)</f>
        <v>410.295</v>
      </c>
      <c r="Y34" s="7" t="n">
        <f aca="false">_xlfn.STDEV.S(D34:W34)</f>
        <v>4.73925099567431</v>
      </c>
      <c r="Z34" s="7" t="n">
        <f aca="false">Y34/X34</f>
        <v>0.0115508378012755</v>
      </c>
    </row>
    <row r="35" customFormat="false" ht="16.75" hidden="false" customHeight="false" outlineLevel="0" collapsed="false">
      <c r="A35" s="10"/>
      <c r="B35" s="4"/>
      <c r="C35" s="5" t="n">
        <v>4</v>
      </c>
      <c r="D35" s="0" t="n">
        <v>414.7</v>
      </c>
      <c r="E35" s="0" t="n">
        <v>404.7</v>
      </c>
      <c r="F35" s="0" t="n">
        <v>407.3</v>
      </c>
      <c r="G35" s="0" t="n">
        <v>402.6</v>
      </c>
      <c r="H35" s="0" t="n">
        <v>406.8</v>
      </c>
      <c r="I35" s="0" t="n">
        <v>410.8</v>
      </c>
      <c r="J35" s="0" t="n">
        <v>394.8</v>
      </c>
      <c r="K35" s="0" t="n">
        <v>416.8</v>
      </c>
      <c r="L35" s="0" t="n">
        <v>401.2</v>
      </c>
      <c r="M35" s="0" t="n">
        <v>404.6</v>
      </c>
      <c r="N35" s="0" t="n">
        <v>399.4</v>
      </c>
      <c r="O35" s="0" t="n">
        <v>407.8</v>
      </c>
      <c r="P35" s="0" t="n">
        <v>405.2</v>
      </c>
      <c r="Q35" s="0" t="n">
        <v>413.9</v>
      </c>
      <c r="R35" s="0" t="n">
        <v>406.4</v>
      </c>
      <c r="S35" s="0" t="n">
        <v>398.6</v>
      </c>
      <c r="T35" s="0" t="n">
        <v>414.2</v>
      </c>
      <c r="U35" s="0" t="n">
        <v>402.9</v>
      </c>
      <c r="V35" s="0" t="n">
        <v>402.4</v>
      </c>
      <c r="W35" s="0" t="n">
        <v>406.4</v>
      </c>
      <c r="X35" s="6" t="n">
        <f aca="false">AVERAGE(D35:W35)</f>
        <v>406.075</v>
      </c>
      <c r="Y35" s="7" t="n">
        <f aca="false">_xlfn.STDEV.S(D35:W35)</f>
        <v>5.78572426435601</v>
      </c>
      <c r="Z35" s="7" t="n">
        <f aca="false">Y35/X35</f>
        <v>0.0142479203702666</v>
      </c>
    </row>
    <row r="36" customFormat="false" ht="16.75" hidden="false" customHeight="false" outlineLevel="0" collapsed="false">
      <c r="A36" s="10"/>
      <c r="B36" s="4" t="n">
        <v>50</v>
      </c>
      <c r="C36" s="5" t="n">
        <v>0</v>
      </c>
      <c r="D36" s="0" t="n">
        <v>403.4</v>
      </c>
      <c r="E36" s="0" t="n">
        <v>405.2</v>
      </c>
      <c r="F36" s="0" t="n">
        <v>403</v>
      </c>
      <c r="G36" s="0" t="n">
        <v>416.7</v>
      </c>
      <c r="H36" s="0" t="n">
        <v>410</v>
      </c>
      <c r="I36" s="0" t="n">
        <v>408.9</v>
      </c>
      <c r="J36" s="0" t="n">
        <v>409.4</v>
      </c>
      <c r="K36" s="0" t="n">
        <v>413.7</v>
      </c>
      <c r="L36" s="0" t="n">
        <v>396.2</v>
      </c>
      <c r="M36" s="0" t="n">
        <v>415.2</v>
      </c>
      <c r="N36" s="0" t="n">
        <v>412.5</v>
      </c>
      <c r="O36" s="0" t="n">
        <v>400.9</v>
      </c>
      <c r="P36" s="0" t="n">
        <v>412.4</v>
      </c>
      <c r="Q36" s="0" t="n">
        <v>402.8</v>
      </c>
      <c r="R36" s="0" t="n">
        <v>406.5</v>
      </c>
      <c r="S36" s="0" t="n">
        <v>412.1</v>
      </c>
      <c r="T36" s="0" t="n">
        <v>414.4</v>
      </c>
      <c r="U36" s="0" t="n">
        <v>398.8</v>
      </c>
      <c r="V36" s="0" t="n">
        <v>396.2</v>
      </c>
      <c r="W36" s="0" t="n">
        <v>388.2</v>
      </c>
      <c r="X36" s="6" t="n">
        <f aca="false">AVERAGE(D36:W36)</f>
        <v>406.325</v>
      </c>
      <c r="Y36" s="7" t="n">
        <f aca="false">_xlfn.STDEV.S(D36:W36)</f>
        <v>7.59819057407749</v>
      </c>
      <c r="Z36" s="7" t="n">
        <f aca="false">Y36/X36</f>
        <v>0.0186997860679936</v>
      </c>
    </row>
    <row r="37" customFormat="false" ht="16.75" hidden="false" customHeight="false" outlineLevel="0" collapsed="false">
      <c r="A37" s="10"/>
      <c r="B37" s="4"/>
      <c r="C37" s="5" t="n">
        <v>2</v>
      </c>
      <c r="D37" s="0" t="n">
        <v>397.6</v>
      </c>
      <c r="E37" s="0" t="n">
        <v>405.2</v>
      </c>
      <c r="F37" s="0" t="n">
        <v>390.5</v>
      </c>
      <c r="G37" s="0" t="n">
        <v>401.9</v>
      </c>
      <c r="H37" s="0" t="n">
        <v>393.8</v>
      </c>
      <c r="I37" s="0" t="n">
        <v>395.4</v>
      </c>
      <c r="J37" s="0" t="n">
        <v>397.8</v>
      </c>
      <c r="K37" s="0" t="n">
        <v>395.2</v>
      </c>
      <c r="L37" s="0" t="n">
        <v>395.7</v>
      </c>
      <c r="M37" s="0" t="n">
        <v>396.3</v>
      </c>
      <c r="N37" s="0" t="n">
        <v>398.5</v>
      </c>
      <c r="O37" s="0" t="n">
        <v>386.5</v>
      </c>
      <c r="P37" s="0" t="n">
        <v>393.3</v>
      </c>
      <c r="Q37" s="0" t="n">
        <v>389.1</v>
      </c>
      <c r="R37" s="0" t="n">
        <v>394.3</v>
      </c>
      <c r="S37" s="0" t="n">
        <v>393.4</v>
      </c>
      <c r="T37" s="0" t="n">
        <v>395.3</v>
      </c>
      <c r="U37" s="0" t="n">
        <v>391</v>
      </c>
      <c r="V37" s="0" t="n">
        <v>398.6</v>
      </c>
      <c r="W37" s="0" t="n">
        <v>401.8</v>
      </c>
      <c r="X37" s="6" t="n">
        <f aca="false">AVERAGE(D37:W37)</f>
        <v>395.56</v>
      </c>
      <c r="Y37" s="7" t="n">
        <f aca="false">_xlfn.STDEV.S(D37:W37)</f>
        <v>4.49905253183495</v>
      </c>
      <c r="Z37" s="7" t="n">
        <f aca="false">Y37/X37</f>
        <v>0.0113738814132747</v>
      </c>
    </row>
    <row r="38" customFormat="false" ht="16.75" hidden="false" customHeight="false" outlineLevel="0" collapsed="false">
      <c r="A38" s="10"/>
      <c r="B38" s="4"/>
      <c r="C38" s="5" t="n">
        <v>4</v>
      </c>
      <c r="D38" s="0" t="n">
        <v>395.2</v>
      </c>
      <c r="E38" s="0" t="n">
        <v>389.1</v>
      </c>
      <c r="F38" s="0" t="n">
        <v>393.2</v>
      </c>
      <c r="G38" s="0" t="n">
        <v>386.2</v>
      </c>
      <c r="H38" s="0" t="n">
        <v>383.5</v>
      </c>
      <c r="I38" s="0" t="n">
        <v>400</v>
      </c>
      <c r="J38" s="0" t="n">
        <v>397.1</v>
      </c>
      <c r="K38" s="0" t="n">
        <v>389.6</v>
      </c>
      <c r="L38" s="0" t="n">
        <v>399.8</v>
      </c>
      <c r="M38" s="0" t="n">
        <v>390.2</v>
      </c>
      <c r="N38" s="0" t="n">
        <v>394.2</v>
      </c>
      <c r="O38" s="0" t="n">
        <v>395.2</v>
      </c>
      <c r="P38" s="0" t="n">
        <v>403.1</v>
      </c>
      <c r="Q38" s="0" t="n">
        <v>386.1</v>
      </c>
      <c r="R38" s="0" t="n">
        <v>396.8</v>
      </c>
      <c r="S38" s="0" t="n">
        <v>396.3</v>
      </c>
      <c r="T38" s="0" t="n">
        <v>404.9</v>
      </c>
      <c r="U38" s="0" t="n">
        <v>404.6</v>
      </c>
      <c r="V38" s="0" t="n">
        <v>390.3</v>
      </c>
      <c r="W38" s="0" t="n">
        <v>399</v>
      </c>
      <c r="X38" s="6" t="n">
        <f aca="false">AVERAGE(D38:W38)</f>
        <v>394.72</v>
      </c>
      <c r="Y38" s="7" t="n">
        <f aca="false">_xlfn.STDEV.S(D38:W38)</f>
        <v>6.19656950935036</v>
      </c>
      <c r="Z38" s="7" t="n">
        <f aca="false">Y38/X38</f>
        <v>0.0156986458992459</v>
      </c>
    </row>
    <row r="39" customFormat="false" ht="16.75" hidden="false" customHeight="false" outlineLevel="0" collapsed="false">
      <c r="A39" s="10"/>
      <c r="B39" s="4" t="n">
        <v>75</v>
      </c>
      <c r="C39" s="5" t="n">
        <v>0</v>
      </c>
      <c r="D39" s="0" t="n">
        <v>401.5</v>
      </c>
      <c r="E39" s="0" t="n">
        <v>408.1</v>
      </c>
      <c r="F39" s="0" t="n">
        <v>393.8</v>
      </c>
      <c r="G39" s="0" t="n">
        <v>406</v>
      </c>
      <c r="H39" s="0" t="n">
        <v>404.9</v>
      </c>
      <c r="I39" s="0" t="n">
        <v>404.7</v>
      </c>
      <c r="J39" s="0" t="n">
        <v>403.4</v>
      </c>
      <c r="K39" s="0" t="n">
        <v>414.4</v>
      </c>
      <c r="L39" s="0" t="n">
        <v>401</v>
      </c>
      <c r="M39" s="0" t="n">
        <v>399.3</v>
      </c>
      <c r="N39" s="0" t="n">
        <v>395.6</v>
      </c>
      <c r="O39" s="0" t="n">
        <v>396.5</v>
      </c>
      <c r="P39" s="0" t="n">
        <v>407.3</v>
      </c>
      <c r="Q39" s="0" t="n">
        <v>394.7</v>
      </c>
      <c r="R39" s="0" t="n">
        <v>397.5</v>
      </c>
      <c r="S39" s="0" t="n">
        <v>405.2</v>
      </c>
      <c r="T39" s="0" t="n">
        <v>405.3</v>
      </c>
      <c r="U39" s="0" t="n">
        <v>397.3</v>
      </c>
      <c r="V39" s="0" t="n">
        <v>398.3</v>
      </c>
      <c r="W39" s="0" t="n">
        <v>400.3</v>
      </c>
      <c r="X39" s="6" t="n">
        <f aca="false">AVERAGE(D39:W39)</f>
        <v>401.755</v>
      </c>
      <c r="Y39" s="7" t="n">
        <f aca="false">_xlfn.STDEV.S(D39:W39)</f>
        <v>5.2907541000663</v>
      </c>
      <c r="Z39" s="7" t="n">
        <f aca="false">Y39/X39</f>
        <v>0.0131691057984749</v>
      </c>
    </row>
    <row r="40" customFormat="false" ht="16.75" hidden="false" customHeight="false" outlineLevel="0" collapsed="false">
      <c r="A40" s="10"/>
      <c r="B40" s="4"/>
      <c r="C40" s="5" t="n">
        <v>2</v>
      </c>
      <c r="D40" s="0" t="n">
        <v>397.5</v>
      </c>
      <c r="E40" s="0" t="n">
        <v>407</v>
      </c>
      <c r="F40" s="0" t="n">
        <v>406.2</v>
      </c>
      <c r="G40" s="0" t="n">
        <v>401.4</v>
      </c>
      <c r="H40" s="0" t="n">
        <v>406.1</v>
      </c>
      <c r="I40" s="0" t="n">
        <v>394.5</v>
      </c>
      <c r="J40" s="0" t="n">
        <v>399.4</v>
      </c>
      <c r="K40" s="0" t="n">
        <v>397.4</v>
      </c>
      <c r="L40" s="0" t="n">
        <v>399.5</v>
      </c>
      <c r="M40" s="0" t="n">
        <v>391</v>
      </c>
      <c r="N40" s="0" t="n">
        <v>414.2</v>
      </c>
      <c r="O40" s="0" t="n">
        <v>404.1</v>
      </c>
      <c r="P40" s="0" t="n">
        <v>401.6</v>
      </c>
      <c r="Q40" s="0" t="n">
        <v>399.3</v>
      </c>
      <c r="R40" s="0" t="n">
        <v>406</v>
      </c>
      <c r="S40" s="0" t="n">
        <v>393.9</v>
      </c>
      <c r="T40" s="0" t="n">
        <v>400.4</v>
      </c>
      <c r="U40" s="0" t="n">
        <v>392.3</v>
      </c>
      <c r="V40" s="0" t="n">
        <v>399.5</v>
      </c>
      <c r="W40" s="0" t="n">
        <v>405.1</v>
      </c>
      <c r="X40" s="6" t="n">
        <f aca="false">AVERAGE(D40:W40)</f>
        <v>400.82</v>
      </c>
      <c r="Y40" s="7" t="n">
        <f aca="false">_xlfn.STDEV.S(D40:W40)</f>
        <v>5.70526995532709</v>
      </c>
      <c r="Z40" s="7" t="n">
        <f aca="false">Y40/X40</f>
        <v>0.0142339951981615</v>
      </c>
    </row>
    <row r="41" customFormat="false" ht="16.75" hidden="false" customHeight="false" outlineLevel="0" collapsed="false">
      <c r="A41" s="10"/>
      <c r="B41" s="4"/>
      <c r="C41" s="5" t="n">
        <v>4</v>
      </c>
      <c r="D41" s="0" t="n">
        <v>400.5</v>
      </c>
      <c r="E41" s="0" t="n">
        <v>404.3</v>
      </c>
      <c r="F41" s="0" t="n">
        <v>400.4</v>
      </c>
      <c r="G41" s="0" t="n">
        <v>398.5</v>
      </c>
      <c r="H41" s="0" t="n">
        <v>402.7</v>
      </c>
      <c r="I41" s="0" t="n">
        <v>399.1</v>
      </c>
      <c r="J41" s="0" t="n">
        <v>396.7</v>
      </c>
      <c r="K41" s="0" t="n">
        <v>394.8</v>
      </c>
      <c r="L41" s="0" t="n">
        <v>407.9</v>
      </c>
      <c r="M41" s="0" t="n">
        <v>403.2</v>
      </c>
      <c r="N41" s="0" t="n">
        <v>402</v>
      </c>
      <c r="O41" s="0" t="n">
        <v>400.9</v>
      </c>
      <c r="P41" s="0" t="n">
        <v>404.9</v>
      </c>
      <c r="Q41" s="0" t="n">
        <v>402.4</v>
      </c>
      <c r="R41" s="0" t="n">
        <v>398</v>
      </c>
      <c r="S41" s="0" t="n">
        <v>399.2</v>
      </c>
      <c r="T41" s="0" t="n">
        <v>404.9</v>
      </c>
      <c r="U41" s="0" t="n">
        <v>399.6</v>
      </c>
      <c r="V41" s="0" t="n">
        <v>402.7</v>
      </c>
      <c r="W41" s="0" t="n">
        <v>402.6</v>
      </c>
      <c r="X41" s="6" t="n">
        <f aca="false">AVERAGE(D41:W41)</f>
        <v>401.265</v>
      </c>
      <c r="Y41" s="7" t="n">
        <f aca="false">_xlfn.STDEV.S(D41:W41)</f>
        <v>3.12262962732913</v>
      </c>
      <c r="Z41" s="7" t="n">
        <f aca="false">Y41/X41</f>
        <v>0.00778196360841122</v>
      </c>
    </row>
    <row r="42" customFormat="false" ht="16.75" hidden="false" customHeight="false" outlineLevel="0" collapsed="false">
      <c r="A42" s="10"/>
      <c r="B42" s="4" t="n">
        <v>100</v>
      </c>
      <c r="C42" s="5" t="n">
        <v>0</v>
      </c>
      <c r="D42" s="0" t="n">
        <v>409.9</v>
      </c>
      <c r="E42" s="0" t="n">
        <v>402.4</v>
      </c>
      <c r="F42" s="0" t="n">
        <v>398.5</v>
      </c>
      <c r="G42" s="0" t="n">
        <v>402.3</v>
      </c>
      <c r="H42" s="0" t="n">
        <v>408.4</v>
      </c>
      <c r="I42" s="0" t="n">
        <v>406.2</v>
      </c>
      <c r="J42" s="0" t="n">
        <v>402.6</v>
      </c>
      <c r="K42" s="0" t="n">
        <v>399.7</v>
      </c>
      <c r="L42" s="0" t="n">
        <v>402.5</v>
      </c>
      <c r="M42" s="0" t="n">
        <v>401.2</v>
      </c>
      <c r="N42" s="0" t="n">
        <v>396.8</v>
      </c>
      <c r="O42" s="0" t="n">
        <v>401.5</v>
      </c>
      <c r="P42" s="0" t="n">
        <v>400.3</v>
      </c>
      <c r="Q42" s="0" t="n">
        <v>397.5</v>
      </c>
      <c r="R42" s="0" t="n">
        <v>414.3</v>
      </c>
      <c r="S42" s="0" t="n">
        <v>411.4</v>
      </c>
      <c r="T42" s="0" t="n">
        <v>404.6</v>
      </c>
      <c r="U42" s="0" t="n">
        <v>405.7</v>
      </c>
      <c r="V42" s="0" t="n">
        <v>405.4</v>
      </c>
      <c r="W42" s="0" t="n">
        <v>408.5</v>
      </c>
      <c r="X42" s="6" t="n">
        <f aca="false">AVERAGE(D42:W42)</f>
        <v>403.985</v>
      </c>
      <c r="Y42" s="7" t="n">
        <f aca="false">_xlfn.STDEV.S(D42:W42)</f>
        <v>4.73278320252526</v>
      </c>
      <c r="Z42" s="7" t="n">
        <f aca="false">Y42/X42</f>
        <v>0.0117152448792041</v>
      </c>
    </row>
    <row r="43" customFormat="false" ht="16.75" hidden="false" customHeight="false" outlineLevel="0" collapsed="false">
      <c r="A43" s="10"/>
      <c r="B43" s="4"/>
      <c r="C43" s="5" t="n">
        <v>2</v>
      </c>
      <c r="D43" s="0" t="n">
        <v>400.4</v>
      </c>
      <c r="E43" s="0" t="n">
        <v>404.7</v>
      </c>
      <c r="F43" s="0" t="n">
        <v>399.6</v>
      </c>
      <c r="G43" s="0" t="n">
        <v>403.8</v>
      </c>
      <c r="H43" s="0" t="n">
        <v>412.2</v>
      </c>
      <c r="I43" s="0" t="n">
        <v>408.2</v>
      </c>
      <c r="J43" s="0" t="n">
        <v>409.6</v>
      </c>
      <c r="K43" s="0" t="n">
        <v>405.9</v>
      </c>
      <c r="L43" s="0" t="n">
        <v>397.7</v>
      </c>
      <c r="M43" s="0" t="n">
        <v>402</v>
      </c>
      <c r="N43" s="0" t="n">
        <v>397</v>
      </c>
      <c r="O43" s="0" t="n">
        <v>406.8</v>
      </c>
      <c r="P43" s="0" t="n">
        <v>400.6</v>
      </c>
      <c r="Q43" s="0" t="n">
        <v>404</v>
      </c>
      <c r="R43" s="0" t="n">
        <v>404.4</v>
      </c>
      <c r="S43" s="0" t="n">
        <v>405.1</v>
      </c>
      <c r="T43" s="0" t="n">
        <v>398.7</v>
      </c>
      <c r="U43" s="0" t="n">
        <v>395.7</v>
      </c>
      <c r="V43" s="0" t="n">
        <v>403.4</v>
      </c>
      <c r="W43" s="0" t="n">
        <v>405.7</v>
      </c>
      <c r="X43" s="6" t="n">
        <f aca="false">AVERAGE(D43:W43)</f>
        <v>403.275</v>
      </c>
      <c r="Y43" s="7" t="n">
        <f aca="false">_xlfn.STDEV.S(D43:W43)</f>
        <v>4.32786260604956</v>
      </c>
      <c r="Z43" s="7" t="n">
        <f aca="false">Y43/X43</f>
        <v>0.0107317899846248</v>
      </c>
    </row>
    <row r="44" customFormat="false" ht="16.75" hidden="false" customHeight="false" outlineLevel="0" collapsed="false">
      <c r="A44" s="10"/>
      <c r="B44" s="4"/>
      <c r="C44" s="5" t="n">
        <v>4</v>
      </c>
      <c r="D44" s="0" t="n">
        <v>404.4</v>
      </c>
      <c r="E44" s="0" t="n">
        <v>407</v>
      </c>
      <c r="F44" s="0" t="n">
        <v>399.8</v>
      </c>
      <c r="G44" s="0" t="n">
        <v>404.5</v>
      </c>
      <c r="H44" s="0" t="n">
        <v>400.2</v>
      </c>
      <c r="I44" s="0" t="n">
        <v>397.6</v>
      </c>
      <c r="J44" s="0" t="n">
        <v>397.7</v>
      </c>
      <c r="K44" s="0" t="n">
        <v>404.2</v>
      </c>
      <c r="L44" s="0" t="n">
        <v>397.4</v>
      </c>
      <c r="M44" s="0" t="n">
        <v>400.8</v>
      </c>
      <c r="N44" s="0" t="n">
        <v>394.1</v>
      </c>
      <c r="O44" s="0" t="n">
        <v>391.5</v>
      </c>
      <c r="P44" s="0" t="n">
        <v>395</v>
      </c>
      <c r="Q44" s="0" t="n">
        <v>396.1</v>
      </c>
      <c r="R44" s="0" t="n">
        <v>408.8</v>
      </c>
      <c r="S44" s="0" t="n">
        <v>397.5</v>
      </c>
      <c r="T44" s="0" t="n">
        <v>399.8</v>
      </c>
      <c r="U44" s="0" t="n">
        <v>411.6</v>
      </c>
      <c r="V44" s="0" t="n">
        <v>401.8</v>
      </c>
      <c r="W44" s="0" t="n">
        <v>405.8</v>
      </c>
      <c r="X44" s="6" t="n">
        <f aca="false">AVERAGE(D44:W44)</f>
        <v>400.78</v>
      </c>
      <c r="Y44" s="7" t="n">
        <f aca="false">_xlfn.STDEV.S(D44:W44)</f>
        <v>5.20653435597999</v>
      </c>
      <c r="Z44" s="7" t="n">
        <f aca="false">Y44/X44</f>
        <v>0.0129910034332551</v>
      </c>
    </row>
    <row r="45" customFormat="false" ht="16.75" hidden="false" customHeight="false" outlineLevel="0" collapsed="false">
      <c r="A45" s="10"/>
      <c r="B45" s="4" t="n">
        <v>150</v>
      </c>
      <c r="C45" s="5" t="n">
        <v>0</v>
      </c>
      <c r="D45" s="0" t="n">
        <v>396.9</v>
      </c>
      <c r="E45" s="0" t="n">
        <v>389.3</v>
      </c>
      <c r="F45" s="0" t="n">
        <v>390.5</v>
      </c>
      <c r="G45" s="0" t="n">
        <v>388.7</v>
      </c>
      <c r="H45" s="0" t="n">
        <v>390.5</v>
      </c>
      <c r="I45" s="0" t="n">
        <v>391</v>
      </c>
      <c r="J45" s="0" t="n">
        <v>407.9</v>
      </c>
      <c r="K45" s="0" t="n">
        <v>396.2</v>
      </c>
      <c r="L45" s="0" t="n">
        <v>384.3</v>
      </c>
      <c r="M45" s="0" t="n">
        <v>388.6</v>
      </c>
      <c r="N45" s="0" t="n">
        <v>391.6</v>
      </c>
      <c r="O45" s="0" t="n">
        <v>391.6</v>
      </c>
      <c r="P45" s="0" t="n">
        <v>393.3</v>
      </c>
      <c r="Q45" s="0" t="n">
        <v>387.7</v>
      </c>
      <c r="R45" s="0" t="n">
        <v>408</v>
      </c>
      <c r="S45" s="0" t="n">
        <v>393.7</v>
      </c>
      <c r="T45" s="0" t="n">
        <v>394</v>
      </c>
      <c r="U45" s="0" t="n">
        <v>392.4</v>
      </c>
      <c r="V45" s="0" t="n">
        <v>407.2</v>
      </c>
      <c r="W45" s="0" t="n">
        <v>387.6</v>
      </c>
      <c r="X45" s="6" t="n">
        <f aca="false">AVERAGE(D45:W45)</f>
        <v>393.55</v>
      </c>
      <c r="Y45" s="7" t="n">
        <f aca="false">_xlfn.STDEV.S(D45:W45)</f>
        <v>6.785782350272</v>
      </c>
      <c r="Z45" s="7" t="n">
        <f aca="false">Y45/X45</f>
        <v>0.0172424910437607</v>
      </c>
    </row>
    <row r="46" customFormat="false" ht="16.75" hidden="false" customHeight="false" outlineLevel="0" collapsed="false">
      <c r="A46" s="10"/>
      <c r="B46" s="4"/>
      <c r="C46" s="5" t="n">
        <v>2</v>
      </c>
      <c r="D46" s="0" t="n">
        <v>389.2</v>
      </c>
      <c r="E46" s="0" t="n">
        <v>394.9</v>
      </c>
      <c r="F46" s="0" t="n">
        <v>395.5</v>
      </c>
      <c r="G46" s="0" t="n">
        <v>390.9</v>
      </c>
      <c r="H46" s="0" t="n">
        <v>386.2</v>
      </c>
      <c r="I46" s="0" t="n">
        <v>392.3</v>
      </c>
      <c r="J46" s="0" t="n">
        <v>388.9</v>
      </c>
      <c r="K46" s="0" t="n">
        <v>386.8</v>
      </c>
      <c r="L46" s="0" t="n">
        <v>392.5</v>
      </c>
      <c r="M46" s="0" t="n">
        <v>390.9</v>
      </c>
      <c r="N46" s="0" t="n">
        <v>389.6</v>
      </c>
      <c r="O46" s="0" t="n">
        <v>384.3</v>
      </c>
      <c r="P46" s="0" t="n">
        <v>392</v>
      </c>
      <c r="Q46" s="0" t="n">
        <v>390.8</v>
      </c>
      <c r="R46" s="0" t="n">
        <v>390</v>
      </c>
      <c r="S46" s="0" t="n">
        <v>398</v>
      </c>
      <c r="T46" s="0" t="n">
        <v>387.6</v>
      </c>
      <c r="U46" s="0" t="n">
        <v>385.2</v>
      </c>
      <c r="V46" s="0" t="n">
        <v>388.4</v>
      </c>
      <c r="W46" s="0" t="n">
        <v>393.3</v>
      </c>
      <c r="X46" s="6" t="n">
        <f aca="false">AVERAGE(D46:W46)</f>
        <v>390.365</v>
      </c>
      <c r="Y46" s="7" t="n">
        <f aca="false">_xlfn.STDEV.S(D46:W46)</f>
        <v>3.51557062823452</v>
      </c>
      <c r="Z46" s="7" t="n">
        <f aca="false">Y46/X46</f>
        <v>0.00900585510543855</v>
      </c>
    </row>
    <row r="47" customFormat="false" ht="16.75" hidden="false" customHeight="false" outlineLevel="0" collapsed="false">
      <c r="A47" s="10"/>
      <c r="B47" s="4"/>
      <c r="C47" s="5" t="n">
        <v>4</v>
      </c>
      <c r="D47" s="0" t="n">
        <v>396.7</v>
      </c>
      <c r="E47" s="0" t="n">
        <v>397.7</v>
      </c>
      <c r="F47" s="0" t="n">
        <v>396.9</v>
      </c>
      <c r="G47" s="0" t="n">
        <v>395.9</v>
      </c>
      <c r="H47" s="0" t="n">
        <v>392.4</v>
      </c>
      <c r="I47" s="0" t="n">
        <v>396.4</v>
      </c>
      <c r="J47" s="0" t="n">
        <v>397</v>
      </c>
      <c r="K47" s="0" t="n">
        <v>391.9</v>
      </c>
      <c r="L47" s="0" t="n">
        <v>398.9</v>
      </c>
      <c r="M47" s="0" t="n">
        <v>402.5</v>
      </c>
      <c r="N47" s="0" t="n">
        <v>397</v>
      </c>
      <c r="O47" s="0" t="n">
        <v>400.1</v>
      </c>
      <c r="P47" s="0" t="n">
        <v>394.9</v>
      </c>
      <c r="Q47" s="0" t="n">
        <v>394.8</v>
      </c>
      <c r="R47" s="0" t="n">
        <v>395.7</v>
      </c>
      <c r="S47" s="0" t="n">
        <v>400.1</v>
      </c>
      <c r="T47" s="0" t="n">
        <v>395</v>
      </c>
      <c r="U47" s="0" t="n">
        <v>397.7</v>
      </c>
      <c r="V47" s="0" t="n">
        <v>391</v>
      </c>
      <c r="W47" s="0" t="n">
        <v>394.3</v>
      </c>
      <c r="X47" s="6" t="n">
        <f aca="false">AVERAGE(D47:W47)</f>
        <v>396.345</v>
      </c>
      <c r="Y47" s="7" t="n">
        <f aca="false">_xlfn.STDEV.S(D47:W47)</f>
        <v>2.83353508053661</v>
      </c>
      <c r="Z47" s="7" t="n">
        <f aca="false">Y47/X47</f>
        <v>0.00714916317989784</v>
      </c>
    </row>
    <row r="48" customFormat="false" ht="16.75" hidden="false" customHeight="false" outlineLevel="0" collapsed="false">
      <c r="A48" s="11"/>
      <c r="B48" s="3"/>
      <c r="C48" s="5"/>
      <c r="X48" s="6"/>
      <c r="Y48" s="7"/>
      <c r="Z48" s="7"/>
    </row>
    <row r="49" customFormat="false" ht="15" hidden="false" customHeight="true" outlineLevel="0" collapsed="false">
      <c r="A49" s="1" t="s">
        <v>40</v>
      </c>
      <c r="B49" s="1"/>
      <c r="C49" s="1"/>
    </row>
    <row r="50" customFormat="false" ht="15" hidden="false" customHeight="false" outlineLevel="0" collapsed="false">
      <c r="A50" s="1"/>
      <c r="B50" s="1"/>
      <c r="C50" s="1"/>
      <c r="D50" s="2" t="s">
        <v>28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9.85" hidden="false" customHeight="false" outlineLevel="0" collapsed="false">
      <c r="A53" s="3" t="s">
        <v>2</v>
      </c>
      <c r="B53" s="3" t="s">
        <v>3</v>
      </c>
      <c r="C53" s="3" t="s">
        <v>41</v>
      </c>
      <c r="D53" s="3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3" t="s">
        <v>9</v>
      </c>
      <c r="J53" s="3" t="s">
        <v>10</v>
      </c>
      <c r="K53" s="3" t="s">
        <v>11</v>
      </c>
      <c r="L53" s="3" t="s">
        <v>12</v>
      </c>
      <c r="M53" s="3" t="s">
        <v>13</v>
      </c>
      <c r="N53" s="3" t="s">
        <v>14</v>
      </c>
      <c r="O53" s="3" t="s">
        <v>15</v>
      </c>
      <c r="P53" s="3" t="s">
        <v>16</v>
      </c>
      <c r="Q53" s="3" t="s">
        <v>17</v>
      </c>
      <c r="R53" s="3" t="s">
        <v>18</v>
      </c>
      <c r="S53" s="3" t="s">
        <v>19</v>
      </c>
      <c r="T53" s="3" t="s">
        <v>20</v>
      </c>
      <c r="U53" s="3" t="s">
        <v>21</v>
      </c>
      <c r="V53" s="3" t="s">
        <v>22</v>
      </c>
      <c r="W53" s="3" t="s">
        <v>23</v>
      </c>
      <c r="X53" s="3" t="s">
        <v>24</v>
      </c>
      <c r="Y53" s="3" t="s">
        <v>25</v>
      </c>
      <c r="Z53" s="3" t="s">
        <v>26</v>
      </c>
    </row>
    <row r="54" customFormat="false" ht="16.75" hidden="false" customHeight="false" outlineLevel="0" collapsed="false">
      <c r="A54" s="10" t="n">
        <v>10</v>
      </c>
      <c r="B54" s="4" t="n">
        <v>25</v>
      </c>
      <c r="C54" s="5" t="n">
        <v>0</v>
      </c>
      <c r="D54" s="0" t="n">
        <v>395.1</v>
      </c>
      <c r="E54" s="0" t="n">
        <v>384.6</v>
      </c>
      <c r="F54" s="0" t="n">
        <v>402</v>
      </c>
      <c r="G54" s="0" t="n">
        <v>403.9</v>
      </c>
      <c r="H54" s="0" t="n">
        <v>396.7</v>
      </c>
      <c r="I54" s="0" t="n">
        <v>390.1</v>
      </c>
      <c r="J54" s="0" t="n">
        <v>383.7</v>
      </c>
      <c r="K54" s="0" t="n">
        <v>387.9</v>
      </c>
      <c r="L54" s="0" t="n">
        <v>387.9</v>
      </c>
      <c r="M54" s="0" t="n">
        <v>391.3</v>
      </c>
      <c r="N54" s="0" t="n">
        <v>398.4</v>
      </c>
      <c r="O54" s="0" t="n">
        <v>396.9</v>
      </c>
      <c r="P54" s="0" t="n">
        <v>389</v>
      </c>
      <c r="Q54" s="0" t="n">
        <v>390.8</v>
      </c>
      <c r="R54" s="0" t="n">
        <v>395.8</v>
      </c>
      <c r="S54" s="0" t="n">
        <v>398.8</v>
      </c>
      <c r="T54" s="0" t="n">
        <v>397.5</v>
      </c>
      <c r="U54" s="0" t="n">
        <v>390.9</v>
      </c>
      <c r="V54" s="0" t="n">
        <v>397.2</v>
      </c>
      <c r="W54" s="0" t="n">
        <v>392.8</v>
      </c>
      <c r="X54" s="6" t="n">
        <f aca="false">AVERAGE(D54:W54)</f>
        <v>393.565</v>
      </c>
      <c r="Y54" s="7" t="n">
        <f aca="false">_xlfn.STDEV.S(D54:W54)</f>
        <v>5.52946889997488</v>
      </c>
      <c r="Z54" s="7" t="n">
        <f aca="false">Y54/X54</f>
        <v>0.014049696746344</v>
      </c>
    </row>
    <row r="55" customFormat="false" ht="16.75" hidden="false" customHeight="false" outlineLevel="0" collapsed="false">
      <c r="A55" s="10"/>
      <c r="B55" s="4"/>
      <c r="C55" s="5" t="n">
        <v>2</v>
      </c>
      <c r="D55" s="0" t="n">
        <v>395.1</v>
      </c>
      <c r="E55" s="0" t="n">
        <v>392</v>
      </c>
      <c r="F55" s="0" t="n">
        <v>394.8</v>
      </c>
      <c r="G55" s="0" t="n">
        <v>392.8</v>
      </c>
      <c r="H55" s="0" t="n">
        <v>395.1</v>
      </c>
      <c r="I55" s="0" t="n">
        <v>391.9</v>
      </c>
      <c r="J55" s="0" t="n">
        <v>399.2</v>
      </c>
      <c r="K55" s="0" t="n">
        <v>391.1</v>
      </c>
      <c r="L55" s="0" t="n">
        <v>394.9</v>
      </c>
      <c r="M55" s="0" t="n">
        <v>389.2</v>
      </c>
      <c r="N55" s="0" t="n">
        <v>394</v>
      </c>
      <c r="O55" s="0" t="n">
        <v>386.8</v>
      </c>
      <c r="P55" s="0" t="n">
        <v>396.9</v>
      </c>
      <c r="Q55" s="0" t="n">
        <v>388.9</v>
      </c>
      <c r="R55" s="0" t="n">
        <v>404.5</v>
      </c>
      <c r="S55" s="0" t="n">
        <v>386.7</v>
      </c>
      <c r="T55" s="0" t="n">
        <v>392.3</v>
      </c>
      <c r="U55" s="0" t="n">
        <v>393.6</v>
      </c>
      <c r="V55" s="0" t="n">
        <v>387.1</v>
      </c>
      <c r="W55" s="0" t="n">
        <v>400.8</v>
      </c>
      <c r="X55" s="6" t="n">
        <f aca="false">AVERAGE(D55:W55)</f>
        <v>393.385</v>
      </c>
      <c r="Y55" s="7" t="n">
        <f aca="false">_xlfn.STDEV.S(D55:W55)</f>
        <v>4.65293059886936</v>
      </c>
      <c r="Z55" s="7" t="n">
        <f aca="false">Y55/X55</f>
        <v>0.0118279309045067</v>
      </c>
    </row>
    <row r="56" customFormat="false" ht="16.75" hidden="false" customHeight="false" outlineLevel="0" collapsed="false">
      <c r="A56" s="10"/>
      <c r="B56" s="4"/>
      <c r="C56" s="5" t="n">
        <v>4</v>
      </c>
      <c r="D56" s="0" t="n">
        <v>406.5</v>
      </c>
      <c r="E56" s="0" t="n">
        <v>393.5</v>
      </c>
      <c r="F56" s="0" t="n">
        <v>399</v>
      </c>
      <c r="G56" s="0" t="n">
        <v>398.8</v>
      </c>
      <c r="H56" s="0" t="n">
        <v>394.1</v>
      </c>
      <c r="I56" s="0" t="n">
        <v>397.6</v>
      </c>
      <c r="J56" s="0" t="n">
        <v>397.7</v>
      </c>
      <c r="K56" s="0" t="n">
        <v>392.5</v>
      </c>
      <c r="L56" s="0" t="n">
        <v>396.1</v>
      </c>
      <c r="M56" s="0" t="n">
        <v>393.3</v>
      </c>
      <c r="N56" s="0" t="n">
        <v>405</v>
      </c>
      <c r="O56" s="0" t="n">
        <v>390.6</v>
      </c>
      <c r="P56" s="0" t="n">
        <v>400.5</v>
      </c>
      <c r="Q56" s="0" t="n">
        <v>393.6</v>
      </c>
      <c r="R56" s="0" t="n">
        <v>393.5</v>
      </c>
      <c r="S56" s="0" t="n">
        <v>398</v>
      </c>
      <c r="T56" s="0" t="n">
        <v>392.6</v>
      </c>
      <c r="U56" s="0" t="n">
        <v>391.9</v>
      </c>
      <c r="V56" s="0" t="n">
        <v>404.3</v>
      </c>
      <c r="W56" s="0" t="n">
        <v>407.7</v>
      </c>
      <c r="X56" s="6" t="n">
        <f aca="false">AVERAGE(D56:W56)</f>
        <v>397.34</v>
      </c>
      <c r="Y56" s="7" t="n">
        <f aca="false">_xlfn.STDEV.S(D56:W56)</f>
        <v>5.16367881915291</v>
      </c>
      <c r="Z56" s="7" t="n">
        <f aca="false">Y56/X56</f>
        <v>0.0129956179069636</v>
      </c>
    </row>
    <row r="57" customFormat="false" ht="16.75" hidden="false" customHeight="false" outlineLevel="0" collapsed="false">
      <c r="A57" s="10"/>
      <c r="B57" s="4" t="n">
        <v>38</v>
      </c>
      <c r="C57" s="5" t="n">
        <v>0</v>
      </c>
      <c r="D57" s="0" t="n">
        <v>400.4</v>
      </c>
      <c r="E57" s="0" t="n">
        <v>406.8</v>
      </c>
      <c r="F57" s="0" t="n">
        <v>405.7</v>
      </c>
      <c r="G57" s="0" t="n">
        <v>402.5</v>
      </c>
      <c r="H57" s="0" t="n">
        <v>409.2</v>
      </c>
      <c r="I57" s="0" t="n">
        <v>395.3</v>
      </c>
      <c r="J57" s="0" t="n">
        <v>401</v>
      </c>
      <c r="K57" s="0" t="n">
        <v>404.7</v>
      </c>
      <c r="L57" s="0" t="n">
        <v>412</v>
      </c>
      <c r="M57" s="0" t="n">
        <v>406.4</v>
      </c>
      <c r="N57" s="0" t="n">
        <v>414.8</v>
      </c>
      <c r="O57" s="0" t="n">
        <v>406.1</v>
      </c>
      <c r="P57" s="0" t="n">
        <v>405.5</v>
      </c>
      <c r="Q57" s="0" t="n">
        <v>408.8</v>
      </c>
      <c r="R57" s="0" t="n">
        <v>411</v>
      </c>
      <c r="S57" s="0" t="n">
        <v>396.8</v>
      </c>
      <c r="T57" s="0" t="n">
        <v>405.2</v>
      </c>
      <c r="U57" s="0" t="n">
        <v>410.1</v>
      </c>
      <c r="V57" s="0" t="n">
        <v>402.8</v>
      </c>
      <c r="W57" s="0" t="n">
        <v>400.1</v>
      </c>
      <c r="X57" s="6" t="n">
        <f aca="false">AVERAGE(D57:W57)</f>
        <v>405.26</v>
      </c>
      <c r="Y57" s="7" t="n">
        <f aca="false">_xlfn.STDEV.S(D57:W57)</f>
        <v>5.01916327688191</v>
      </c>
      <c r="Z57" s="7" t="n">
        <f aca="false">Y57/X57</f>
        <v>0.0123850448523958</v>
      </c>
    </row>
    <row r="58" customFormat="false" ht="16.75" hidden="false" customHeight="false" outlineLevel="0" collapsed="false">
      <c r="A58" s="10"/>
      <c r="B58" s="4"/>
      <c r="C58" s="5" t="n">
        <v>2</v>
      </c>
      <c r="D58" s="0" t="n">
        <v>406.1</v>
      </c>
      <c r="E58" s="0" t="n">
        <v>397.1</v>
      </c>
      <c r="F58" s="0" t="n">
        <v>394</v>
      </c>
      <c r="G58" s="0" t="n">
        <v>394.2</v>
      </c>
      <c r="H58" s="0" t="n">
        <v>400.9</v>
      </c>
      <c r="I58" s="0" t="n">
        <v>393.9</v>
      </c>
      <c r="J58" s="0" t="n">
        <v>393</v>
      </c>
      <c r="K58" s="0" t="n">
        <v>390.7</v>
      </c>
      <c r="L58" s="0" t="n">
        <v>403.2</v>
      </c>
      <c r="M58" s="0" t="n">
        <v>398.8</v>
      </c>
      <c r="N58" s="0" t="n">
        <v>396</v>
      </c>
      <c r="O58" s="0" t="n">
        <v>397.1</v>
      </c>
      <c r="P58" s="0" t="n">
        <v>395.4</v>
      </c>
      <c r="Q58" s="0" t="n">
        <v>395.7</v>
      </c>
      <c r="R58" s="0" t="n">
        <v>395.63</v>
      </c>
      <c r="S58" s="0" t="n">
        <v>399</v>
      </c>
      <c r="T58" s="0" t="n">
        <v>397</v>
      </c>
      <c r="U58" s="0" t="n">
        <v>395</v>
      </c>
      <c r="V58" s="0" t="n">
        <v>397</v>
      </c>
      <c r="W58" s="0" t="n">
        <v>399.9</v>
      </c>
      <c r="X58" s="6" t="n">
        <f aca="false">AVERAGE(D58:W58)</f>
        <v>396.9815</v>
      </c>
      <c r="Y58" s="7" t="n">
        <f aca="false">_xlfn.STDEV.S(D58:W58)</f>
        <v>3.59378158109694</v>
      </c>
      <c r="Z58" s="7" t="n">
        <f aca="false">Y58/X58</f>
        <v>0.0090527684063286</v>
      </c>
    </row>
    <row r="59" customFormat="false" ht="16.75" hidden="false" customHeight="false" outlineLevel="0" collapsed="false">
      <c r="A59" s="10"/>
      <c r="B59" s="4"/>
      <c r="C59" s="5" t="n">
        <v>4</v>
      </c>
      <c r="D59" s="0" t="n">
        <v>393.9</v>
      </c>
      <c r="E59" s="0" t="n">
        <v>394.4</v>
      </c>
      <c r="F59" s="0" t="n">
        <v>401</v>
      </c>
      <c r="G59" s="0" t="n">
        <v>398</v>
      </c>
      <c r="H59" s="0" t="n">
        <v>392.9</v>
      </c>
      <c r="I59" s="0" t="n">
        <v>391.6</v>
      </c>
      <c r="J59" s="0" t="n">
        <v>395.4</v>
      </c>
      <c r="K59" s="0" t="n">
        <v>395.5</v>
      </c>
      <c r="L59" s="0" t="n">
        <v>391.6</v>
      </c>
      <c r="M59" s="0" t="n">
        <v>402.8</v>
      </c>
      <c r="N59" s="0" t="n">
        <v>402.2</v>
      </c>
      <c r="O59" s="0" t="n">
        <v>391.9</v>
      </c>
      <c r="P59" s="0" t="n">
        <v>398.1</v>
      </c>
      <c r="Q59" s="0" t="n">
        <v>396.2</v>
      </c>
      <c r="R59" s="0" t="n">
        <v>390.4</v>
      </c>
      <c r="S59" s="0" t="n">
        <v>397.1</v>
      </c>
      <c r="T59" s="0" t="n">
        <v>395.5</v>
      </c>
      <c r="U59" s="0" t="n">
        <v>397.2</v>
      </c>
      <c r="V59" s="0" t="n">
        <v>394.6</v>
      </c>
      <c r="W59" s="0" t="n">
        <v>392.5</v>
      </c>
      <c r="X59" s="6" t="n">
        <f aca="false">AVERAGE(D59:W59)</f>
        <v>395.64</v>
      </c>
      <c r="Y59" s="7" t="n">
        <f aca="false">_xlfn.STDEV.S(D59:W59)</f>
        <v>3.52978305580565</v>
      </c>
      <c r="Z59" s="7" t="n">
        <f aca="false">Y59/X59</f>
        <v>0.00892170421546266</v>
      </c>
    </row>
    <row r="60" customFormat="false" ht="16.75" hidden="false" customHeight="false" outlineLevel="0" collapsed="false">
      <c r="A60" s="10"/>
      <c r="B60" s="4" t="n">
        <v>50</v>
      </c>
      <c r="C60" s="5" t="n">
        <v>0</v>
      </c>
      <c r="D60" s="0" t="n">
        <v>404</v>
      </c>
      <c r="E60" s="0" t="n">
        <v>410.7</v>
      </c>
      <c r="F60" s="0" t="n">
        <v>394.1</v>
      </c>
      <c r="G60" s="0" t="n">
        <v>402.4</v>
      </c>
      <c r="H60" s="0" t="n">
        <v>393.8</v>
      </c>
      <c r="I60" s="0" t="n">
        <v>407.6</v>
      </c>
      <c r="J60" s="0" t="n">
        <v>405.2</v>
      </c>
      <c r="K60" s="0" t="n">
        <v>405.3</v>
      </c>
      <c r="L60" s="0" t="n">
        <v>389.1</v>
      </c>
      <c r="M60" s="0" t="n">
        <v>410.9</v>
      </c>
      <c r="N60" s="0" t="n">
        <v>401.5</v>
      </c>
      <c r="O60" s="0" t="n">
        <v>395.4</v>
      </c>
      <c r="P60" s="0" t="n">
        <v>402.7</v>
      </c>
      <c r="Q60" s="0" t="n">
        <v>403</v>
      </c>
      <c r="R60" s="0" t="n">
        <v>402.7</v>
      </c>
      <c r="S60" s="0" t="n">
        <v>393.5</v>
      </c>
      <c r="T60" s="0" t="n">
        <v>401.2</v>
      </c>
      <c r="U60" s="0" t="n">
        <v>393.2</v>
      </c>
      <c r="V60" s="0" t="n">
        <v>395.1</v>
      </c>
      <c r="W60" s="0" t="n">
        <v>396.2</v>
      </c>
      <c r="X60" s="6" t="n">
        <f aca="false">AVERAGE(D60:W60)</f>
        <v>400.38</v>
      </c>
      <c r="Y60" s="7" t="n">
        <f aca="false">_xlfn.STDEV.S(D60:W60)</f>
        <v>6.20904264168927</v>
      </c>
      <c r="Z60" s="7" t="n">
        <f aca="false">Y60/X60</f>
        <v>0.0155078741238056</v>
      </c>
    </row>
    <row r="61" customFormat="false" ht="16.75" hidden="false" customHeight="false" outlineLevel="0" collapsed="false">
      <c r="A61" s="10"/>
      <c r="B61" s="4"/>
      <c r="C61" s="5" t="n">
        <v>2</v>
      </c>
      <c r="D61" s="0" t="n">
        <v>401.2</v>
      </c>
      <c r="E61" s="0" t="n">
        <v>387.7</v>
      </c>
      <c r="F61" s="0" t="n">
        <v>395.9</v>
      </c>
      <c r="G61" s="0" t="n">
        <v>388</v>
      </c>
      <c r="H61" s="0" t="n">
        <v>394.8</v>
      </c>
      <c r="I61" s="0" t="n">
        <v>390.3</v>
      </c>
      <c r="J61" s="0" t="n">
        <v>386.9</v>
      </c>
      <c r="K61" s="0" t="n">
        <v>393.6</v>
      </c>
      <c r="L61" s="0" t="n">
        <v>396.5</v>
      </c>
      <c r="M61" s="0" t="n">
        <v>394.1</v>
      </c>
      <c r="N61" s="0" t="n">
        <v>385.2</v>
      </c>
      <c r="O61" s="0" t="n">
        <v>390.1</v>
      </c>
      <c r="P61" s="0" t="n">
        <v>395.3</v>
      </c>
      <c r="Q61" s="0" t="n">
        <v>394.3</v>
      </c>
      <c r="R61" s="0" t="n">
        <v>394.1</v>
      </c>
      <c r="S61" s="0" t="n">
        <v>400</v>
      </c>
      <c r="T61" s="0" t="n">
        <v>388.4</v>
      </c>
      <c r="U61" s="0" t="n">
        <v>395.6</v>
      </c>
      <c r="V61" s="0" t="n">
        <v>404.4</v>
      </c>
      <c r="W61" s="0" t="n">
        <v>391.8</v>
      </c>
      <c r="X61" s="6" t="n">
        <f aca="false">AVERAGE(D61:W61)</f>
        <v>393.41</v>
      </c>
      <c r="Y61" s="7" t="n">
        <f aca="false">_xlfn.STDEV.S(D61:W61)</f>
        <v>4.98786949561265</v>
      </c>
      <c r="Z61" s="7" t="n">
        <f aca="false">Y61/X61</f>
        <v>0.0126785528980266</v>
      </c>
    </row>
    <row r="62" customFormat="false" ht="16.75" hidden="false" customHeight="false" outlineLevel="0" collapsed="false">
      <c r="A62" s="10"/>
      <c r="B62" s="4"/>
      <c r="C62" s="5" t="n">
        <v>4</v>
      </c>
      <c r="D62" s="0" t="n">
        <v>390.9</v>
      </c>
      <c r="E62" s="0" t="n">
        <v>394.4</v>
      </c>
      <c r="F62" s="0" t="n">
        <v>394.1</v>
      </c>
      <c r="G62" s="0" t="n">
        <v>390.5</v>
      </c>
      <c r="H62" s="0" t="n">
        <v>390.1</v>
      </c>
      <c r="I62" s="0" t="n">
        <v>390.8</v>
      </c>
      <c r="J62" s="0" t="n">
        <v>386.1</v>
      </c>
      <c r="K62" s="0" t="n">
        <v>393</v>
      </c>
      <c r="L62" s="0" t="n">
        <v>396.2</v>
      </c>
      <c r="M62" s="0" t="n">
        <v>388.3</v>
      </c>
      <c r="N62" s="0" t="n">
        <v>389</v>
      </c>
      <c r="O62" s="0" t="n">
        <v>400.2</v>
      </c>
      <c r="P62" s="0" t="n">
        <v>392.2</v>
      </c>
      <c r="Q62" s="0" t="n">
        <v>396.5</v>
      </c>
      <c r="R62" s="0" t="n">
        <v>393.9</v>
      </c>
      <c r="S62" s="0" t="n">
        <v>381.7</v>
      </c>
      <c r="T62" s="0" t="n">
        <v>396.5</v>
      </c>
      <c r="U62" s="0" t="n">
        <v>393.9</v>
      </c>
      <c r="V62" s="0" t="n">
        <v>399.1</v>
      </c>
      <c r="W62" s="0" t="n">
        <v>391.5</v>
      </c>
      <c r="X62" s="6" t="n">
        <f aca="false">AVERAGE(D62:W62)</f>
        <v>392.445</v>
      </c>
      <c r="Y62" s="7" t="n">
        <f aca="false">_xlfn.STDEV.S(D62:W62)</f>
        <v>4.36860510075193</v>
      </c>
      <c r="Z62" s="7" t="n">
        <f aca="false">Y62/X62</f>
        <v>0.01113176394336</v>
      </c>
    </row>
    <row r="63" customFormat="false" ht="16.75" hidden="false" customHeight="false" outlineLevel="0" collapsed="false">
      <c r="A63" s="10"/>
      <c r="B63" s="4" t="n">
        <v>75</v>
      </c>
      <c r="C63" s="5" t="n">
        <v>0</v>
      </c>
      <c r="D63" s="0" t="n">
        <v>412.9</v>
      </c>
      <c r="E63" s="0" t="n">
        <v>405.1</v>
      </c>
      <c r="F63" s="0" t="n">
        <v>417.8</v>
      </c>
      <c r="G63" s="0" t="n">
        <v>413</v>
      </c>
      <c r="H63" s="0" t="n">
        <v>411.8</v>
      </c>
      <c r="I63" s="0" t="n">
        <v>424.1</v>
      </c>
      <c r="J63" s="0" t="n">
        <v>409.8</v>
      </c>
      <c r="K63" s="0" t="n">
        <v>427.3</v>
      </c>
      <c r="L63" s="0" t="n">
        <v>405.6</v>
      </c>
      <c r="M63" s="0" t="n">
        <v>416.9</v>
      </c>
      <c r="N63" s="0" t="n">
        <v>411</v>
      </c>
      <c r="O63" s="0" t="n">
        <v>399.4</v>
      </c>
      <c r="P63" s="0" t="n">
        <v>422.2</v>
      </c>
      <c r="Q63" s="0" t="n">
        <v>411.6</v>
      </c>
      <c r="R63" s="0" t="n">
        <v>418.6</v>
      </c>
      <c r="S63" s="0" t="n">
        <v>419.6</v>
      </c>
      <c r="T63" s="0" t="n">
        <v>397</v>
      </c>
      <c r="U63" s="0" t="n">
        <v>412.2</v>
      </c>
      <c r="V63" s="0" t="n">
        <v>406.9</v>
      </c>
      <c r="W63" s="0" t="n">
        <v>414.7</v>
      </c>
      <c r="X63" s="6" t="n">
        <f aca="false">AVERAGE(D63:W63)</f>
        <v>412.875</v>
      </c>
      <c r="Y63" s="7" t="n">
        <f aca="false">_xlfn.STDEV.S(D63:W63)</f>
        <v>7.75179945153654</v>
      </c>
      <c r="Z63" s="7" t="n">
        <f aca="false">Y63/X63</f>
        <v>0.0187751727557652</v>
      </c>
    </row>
    <row r="64" customFormat="false" ht="16.75" hidden="false" customHeight="false" outlineLevel="0" collapsed="false">
      <c r="A64" s="10"/>
      <c r="B64" s="4"/>
      <c r="C64" s="5" t="n">
        <v>2</v>
      </c>
      <c r="D64" s="0" t="n">
        <v>398</v>
      </c>
      <c r="E64" s="0" t="n">
        <v>397.2</v>
      </c>
      <c r="F64" s="0" t="n">
        <v>402.3</v>
      </c>
      <c r="G64" s="0" t="n">
        <v>394.2</v>
      </c>
      <c r="H64" s="0" t="n">
        <v>399.1</v>
      </c>
      <c r="I64" s="0" t="n">
        <v>392.5</v>
      </c>
      <c r="J64" s="0" t="n">
        <v>394</v>
      </c>
      <c r="K64" s="0" t="n">
        <v>394.6</v>
      </c>
      <c r="L64" s="0" t="n">
        <v>393.4</v>
      </c>
      <c r="M64" s="0" t="n">
        <v>394.5</v>
      </c>
      <c r="N64" s="0" t="n">
        <v>395</v>
      </c>
      <c r="O64" s="0" t="n">
        <v>392.3</v>
      </c>
      <c r="P64" s="0" t="n">
        <v>399.2</v>
      </c>
      <c r="Q64" s="0" t="n">
        <v>406</v>
      </c>
      <c r="R64" s="0" t="n">
        <v>396.6</v>
      </c>
      <c r="S64" s="0" t="n">
        <v>399.5</v>
      </c>
      <c r="T64" s="0" t="n">
        <v>398.3</v>
      </c>
      <c r="U64" s="0" t="n">
        <v>402.2</v>
      </c>
      <c r="V64" s="0" t="n">
        <v>394.3</v>
      </c>
      <c r="W64" s="0" t="n">
        <v>394.8</v>
      </c>
      <c r="X64" s="6" t="n">
        <f aca="false">AVERAGE(D64:W64)</f>
        <v>396.9</v>
      </c>
      <c r="Y64" s="7" t="n">
        <f aca="false">_xlfn.STDEV.S(D64:W64)</f>
        <v>3.66060104354463</v>
      </c>
      <c r="Z64" s="7" t="n">
        <f aca="false">Y64/X64</f>
        <v>0.0092229807093591</v>
      </c>
    </row>
    <row r="65" customFormat="false" ht="16.75" hidden="false" customHeight="false" outlineLevel="0" collapsed="false">
      <c r="A65" s="10"/>
      <c r="B65" s="4"/>
      <c r="C65" s="5" t="n">
        <v>4</v>
      </c>
      <c r="D65" s="0" t="n">
        <v>394.6</v>
      </c>
      <c r="E65" s="0" t="n">
        <v>388.8</v>
      </c>
      <c r="F65" s="0" t="n">
        <v>396.1</v>
      </c>
      <c r="G65" s="0" t="n">
        <v>394.4</v>
      </c>
      <c r="H65" s="0" t="n">
        <v>389</v>
      </c>
      <c r="I65" s="0" t="n">
        <v>390.2</v>
      </c>
      <c r="J65" s="0" t="n">
        <v>391.9</v>
      </c>
      <c r="K65" s="0" t="n">
        <v>394.4</v>
      </c>
      <c r="L65" s="0" t="n">
        <v>392.7</v>
      </c>
      <c r="M65" s="0" t="n">
        <v>396.9</v>
      </c>
      <c r="N65" s="0" t="n">
        <v>396.3</v>
      </c>
      <c r="O65" s="0" t="n">
        <v>398.5</v>
      </c>
      <c r="P65" s="0" t="n">
        <v>399.9</v>
      </c>
      <c r="Q65" s="0" t="n">
        <v>389.8</v>
      </c>
      <c r="R65" s="0" t="n">
        <v>403.2</v>
      </c>
      <c r="S65" s="0" t="n">
        <v>394.3</v>
      </c>
      <c r="T65" s="0" t="n">
        <v>392</v>
      </c>
      <c r="U65" s="0" t="n">
        <v>399</v>
      </c>
      <c r="V65" s="0" t="n">
        <v>397</v>
      </c>
      <c r="W65" s="0" t="n">
        <v>392.6</v>
      </c>
      <c r="X65" s="6" t="n">
        <f aca="false">AVERAGE(D65:W65)</f>
        <v>394.58</v>
      </c>
      <c r="Y65" s="7" t="n">
        <f aca="false">_xlfn.STDEV.S(D65:W65)</f>
        <v>3.85276387463392</v>
      </c>
      <c r="Z65" s="7" t="n">
        <f aca="false">Y65/X65</f>
        <v>0.00976421479708531</v>
      </c>
    </row>
    <row r="66" customFormat="false" ht="16.75" hidden="false" customHeight="false" outlineLevel="0" collapsed="false">
      <c r="A66" s="10"/>
      <c r="B66" s="4" t="n">
        <v>100</v>
      </c>
      <c r="C66" s="5" t="n">
        <v>0</v>
      </c>
      <c r="D66" s="0" t="n">
        <v>420.8</v>
      </c>
      <c r="E66" s="0" t="n">
        <v>421.9</v>
      </c>
      <c r="F66" s="0" t="n">
        <v>419.4</v>
      </c>
      <c r="G66" s="0" t="n">
        <v>414.2</v>
      </c>
      <c r="H66" s="0" t="n">
        <v>421.6</v>
      </c>
      <c r="I66" s="0" t="n">
        <v>407.1</v>
      </c>
      <c r="J66" s="0" t="n">
        <v>409.7</v>
      </c>
      <c r="K66" s="0" t="n">
        <v>419.1</v>
      </c>
      <c r="L66" s="0" t="n">
        <v>423.8</v>
      </c>
      <c r="M66" s="0" t="n">
        <v>416.7</v>
      </c>
      <c r="N66" s="0" t="n">
        <v>416.1</v>
      </c>
      <c r="O66" s="0" t="n">
        <v>413.7</v>
      </c>
      <c r="P66" s="0" t="n">
        <v>417.7</v>
      </c>
      <c r="Q66" s="0" t="n">
        <v>409.8</v>
      </c>
      <c r="R66" s="0" t="n">
        <v>411</v>
      </c>
      <c r="S66" s="0" t="n">
        <v>413.8</v>
      </c>
      <c r="T66" s="0" t="n">
        <v>431</v>
      </c>
      <c r="U66" s="0" t="n">
        <v>412.7</v>
      </c>
      <c r="V66" s="0" t="n">
        <v>412</v>
      </c>
      <c r="W66" s="0" t="n">
        <v>414.1</v>
      </c>
      <c r="X66" s="6" t="n">
        <f aca="false">AVERAGE(D66:W66)</f>
        <v>416.31</v>
      </c>
      <c r="Y66" s="7" t="n">
        <f aca="false">_xlfn.STDEV.S(D66:W66)</f>
        <v>5.73033479319536</v>
      </c>
      <c r="Z66" s="7" t="n">
        <f aca="false">Y66/X66</f>
        <v>0.0137645859892757</v>
      </c>
    </row>
    <row r="67" customFormat="false" ht="16.75" hidden="false" customHeight="false" outlineLevel="0" collapsed="false">
      <c r="A67" s="10"/>
      <c r="B67" s="4"/>
      <c r="C67" s="5" t="n">
        <v>2</v>
      </c>
      <c r="D67" s="0" t="n">
        <v>412.1</v>
      </c>
      <c r="E67" s="0" t="n">
        <v>412.9</v>
      </c>
      <c r="F67" s="0" t="n">
        <v>411.2</v>
      </c>
      <c r="G67" s="0" t="n">
        <v>408.5</v>
      </c>
      <c r="H67" s="0" t="n">
        <v>401.4</v>
      </c>
      <c r="I67" s="0" t="n">
        <v>411.6</v>
      </c>
      <c r="J67" s="0" t="n">
        <v>405.9</v>
      </c>
      <c r="K67" s="0" t="n">
        <v>406.6</v>
      </c>
      <c r="L67" s="0" t="n">
        <v>410.3</v>
      </c>
      <c r="M67" s="0" t="n">
        <v>405.1</v>
      </c>
      <c r="N67" s="0" t="n">
        <v>410.4</v>
      </c>
      <c r="O67" s="0" t="n">
        <v>404.1</v>
      </c>
      <c r="P67" s="0" t="n">
        <v>408.2</v>
      </c>
      <c r="Q67" s="0" t="n">
        <v>411.4</v>
      </c>
      <c r="R67" s="0" t="n">
        <v>415.1</v>
      </c>
      <c r="S67" s="0" t="n">
        <v>411.2</v>
      </c>
      <c r="T67" s="0" t="n">
        <v>407.5</v>
      </c>
      <c r="U67" s="0" t="n">
        <v>417.8</v>
      </c>
      <c r="V67" s="0" t="n">
        <v>409.3</v>
      </c>
      <c r="W67" s="0" t="n">
        <v>409.8</v>
      </c>
      <c r="X67" s="6" t="n">
        <f aca="false">AVERAGE(D67:W67)</f>
        <v>409.52</v>
      </c>
      <c r="Y67" s="7" t="n">
        <f aca="false">_xlfn.STDEV.S(D67:W67)</f>
        <v>3.81225171754106</v>
      </c>
      <c r="Z67" s="7" t="n">
        <f aca="false">Y67/X67</f>
        <v>0.00930907334816629</v>
      </c>
    </row>
    <row r="68" customFormat="false" ht="16.75" hidden="false" customHeight="false" outlineLevel="0" collapsed="false">
      <c r="A68" s="10"/>
      <c r="B68" s="4"/>
      <c r="C68" s="5" t="n">
        <v>4</v>
      </c>
      <c r="D68" s="0" t="n">
        <v>419.1</v>
      </c>
      <c r="E68" s="0" t="n">
        <v>407.8</v>
      </c>
      <c r="F68" s="0" t="n">
        <v>407.5</v>
      </c>
      <c r="G68" s="0" t="n">
        <v>407.3</v>
      </c>
      <c r="H68" s="0" t="n">
        <v>416.4</v>
      </c>
      <c r="I68" s="0" t="n">
        <v>422.8</v>
      </c>
      <c r="J68" s="0" t="n">
        <v>409.3</v>
      </c>
      <c r="K68" s="0" t="n">
        <v>415.4</v>
      </c>
      <c r="L68" s="0" t="n">
        <v>410.3</v>
      </c>
      <c r="M68" s="0" t="n">
        <v>413.3</v>
      </c>
      <c r="N68" s="0" t="n">
        <v>413.2</v>
      </c>
      <c r="O68" s="0" t="n">
        <v>418</v>
      </c>
      <c r="P68" s="0" t="n">
        <v>406.8</v>
      </c>
      <c r="Q68" s="0" t="n">
        <v>412.2</v>
      </c>
      <c r="R68" s="0" t="n">
        <v>403.1</v>
      </c>
      <c r="S68" s="0" t="n">
        <v>412.9</v>
      </c>
      <c r="T68" s="0" t="n">
        <v>408</v>
      </c>
      <c r="U68" s="0" t="n">
        <v>412.6</v>
      </c>
      <c r="V68" s="0" t="n">
        <v>412.8</v>
      </c>
      <c r="W68" s="0" t="n">
        <v>413.9</v>
      </c>
      <c r="X68" s="6" t="n">
        <f aca="false">AVERAGE(D68:W68)</f>
        <v>412.135</v>
      </c>
      <c r="Y68" s="7" t="n">
        <f aca="false">_xlfn.STDEV.S(D68:W68)</f>
        <v>4.78267432345236</v>
      </c>
      <c r="Z68" s="7" t="n">
        <f aca="false">Y68/X68</f>
        <v>0.011604630335818</v>
      </c>
    </row>
    <row r="69" customFormat="false" ht="16.75" hidden="false" customHeight="false" outlineLevel="0" collapsed="false">
      <c r="A69" s="10"/>
      <c r="B69" s="4" t="n">
        <v>150</v>
      </c>
      <c r="C69" s="5" t="n">
        <v>0</v>
      </c>
      <c r="D69" s="0" t="n">
        <v>420.9</v>
      </c>
      <c r="E69" s="0" t="n">
        <v>419.5</v>
      </c>
      <c r="F69" s="0" t="n">
        <v>415.2</v>
      </c>
      <c r="G69" s="0" t="n">
        <v>427.2</v>
      </c>
      <c r="H69" s="0" t="n">
        <v>415.3</v>
      </c>
      <c r="I69" s="0" t="n">
        <v>431.5</v>
      </c>
      <c r="J69" s="0" t="n">
        <v>422.6</v>
      </c>
      <c r="K69" s="0" t="n">
        <v>411.1</v>
      </c>
      <c r="L69" s="0" t="n">
        <v>421.6</v>
      </c>
      <c r="M69" s="0" t="n">
        <v>412.8</v>
      </c>
      <c r="N69" s="0" t="n">
        <v>416.8</v>
      </c>
      <c r="O69" s="0" t="n">
        <v>422.3</v>
      </c>
      <c r="P69" s="0" t="n">
        <v>425.1</v>
      </c>
      <c r="Q69" s="0" t="n">
        <v>418</v>
      </c>
      <c r="R69" s="0" t="n">
        <v>417.4</v>
      </c>
      <c r="S69" s="0" t="n">
        <v>416</v>
      </c>
      <c r="T69" s="0" t="n">
        <v>415</v>
      </c>
      <c r="U69" s="0" t="n">
        <v>422.5</v>
      </c>
      <c r="V69" s="0" t="n">
        <v>415.4</v>
      </c>
      <c r="W69" s="0" t="n">
        <v>415.2</v>
      </c>
      <c r="X69" s="6" t="n">
        <f aca="false">AVERAGE(D69:W69)</f>
        <v>419.07</v>
      </c>
      <c r="Y69" s="7" t="n">
        <f aca="false">_xlfn.STDEV.S(D69:W69)</f>
        <v>5.11500372999813</v>
      </c>
      <c r="Z69" s="7" t="n">
        <f aca="false">Y69/X69</f>
        <v>0.0122056070107575</v>
      </c>
    </row>
    <row r="70" customFormat="false" ht="16.75" hidden="false" customHeight="false" outlineLevel="0" collapsed="false">
      <c r="A70" s="10"/>
      <c r="B70" s="4"/>
      <c r="C70" s="5" t="n">
        <v>2</v>
      </c>
      <c r="D70" s="0" t="n">
        <v>417.1</v>
      </c>
      <c r="E70" s="0" t="n">
        <v>415.6</v>
      </c>
      <c r="F70" s="0" t="n">
        <v>430.4</v>
      </c>
      <c r="G70" s="0" t="n">
        <v>419.7</v>
      </c>
      <c r="H70" s="0" t="n">
        <v>418</v>
      </c>
      <c r="I70" s="0" t="n">
        <v>415.8</v>
      </c>
      <c r="J70" s="0" t="n">
        <v>413.7</v>
      </c>
      <c r="K70" s="0" t="n">
        <v>413.9</v>
      </c>
      <c r="L70" s="0" t="n">
        <v>413.2</v>
      </c>
      <c r="M70" s="0" t="n">
        <v>420.6</v>
      </c>
      <c r="N70" s="0" t="n">
        <v>423.8</v>
      </c>
      <c r="O70" s="0" t="n">
        <v>417</v>
      </c>
      <c r="P70" s="0" t="n">
        <v>417.2</v>
      </c>
      <c r="Q70" s="0" t="n">
        <v>420.4</v>
      </c>
      <c r="R70" s="0" t="n">
        <v>410.8</v>
      </c>
      <c r="S70" s="0" t="n">
        <v>412.8</v>
      </c>
      <c r="T70" s="0" t="n">
        <v>413.4</v>
      </c>
      <c r="U70" s="0" t="n">
        <v>423</v>
      </c>
      <c r="V70" s="0" t="n">
        <v>421.6</v>
      </c>
      <c r="W70" s="0" t="n">
        <v>414</v>
      </c>
      <c r="X70" s="6" t="n">
        <f aca="false">AVERAGE(D70:W70)</f>
        <v>417.6</v>
      </c>
      <c r="Y70" s="7" t="n">
        <f aca="false">_xlfn.STDEV.S(D70:W70)</f>
        <v>4.72952651463459</v>
      </c>
      <c r="Z70" s="7" t="n">
        <f aca="false">Y70/X70</f>
        <v>0.0113254945273817</v>
      </c>
    </row>
    <row r="71" customFormat="false" ht="16.75" hidden="false" customHeight="false" outlineLevel="0" collapsed="false">
      <c r="A71" s="10"/>
      <c r="B71" s="4"/>
      <c r="C71" s="5" t="n">
        <v>4</v>
      </c>
      <c r="D71" s="0" t="n">
        <v>422.9</v>
      </c>
      <c r="E71" s="0" t="n">
        <v>423.4</v>
      </c>
      <c r="F71" s="0" t="n">
        <v>428.7</v>
      </c>
      <c r="G71" s="0" t="n">
        <v>419.6</v>
      </c>
      <c r="H71" s="0" t="n">
        <v>421.4</v>
      </c>
      <c r="I71" s="0" t="n">
        <v>423.7</v>
      </c>
      <c r="J71" s="0" t="n">
        <v>405.8</v>
      </c>
      <c r="K71" s="0" t="n">
        <v>423.8</v>
      </c>
      <c r="L71" s="0" t="n">
        <v>430.7</v>
      </c>
      <c r="M71" s="0" t="n">
        <v>423.1</v>
      </c>
      <c r="N71" s="0" t="n">
        <v>420.2</v>
      </c>
      <c r="O71" s="0" t="n">
        <v>426.5</v>
      </c>
      <c r="P71" s="0" t="n">
        <v>429.1</v>
      </c>
      <c r="Q71" s="0" t="n">
        <v>423.8</v>
      </c>
      <c r="R71" s="0" t="n">
        <v>415.6</v>
      </c>
      <c r="S71" s="0" t="n">
        <v>428</v>
      </c>
      <c r="T71" s="0" t="n">
        <v>422.6</v>
      </c>
      <c r="U71" s="0" t="n">
        <v>422.9</v>
      </c>
      <c r="V71" s="0" t="n">
        <v>419.7</v>
      </c>
      <c r="W71" s="0" t="n">
        <v>421.7</v>
      </c>
      <c r="X71" s="6" t="n">
        <f aca="false">AVERAGE(D71:W71)</f>
        <v>422.66</v>
      </c>
      <c r="Y71" s="7" t="n">
        <f aca="false">_xlfn.STDEV.S(D71:W71)</f>
        <v>5.38608343203501</v>
      </c>
      <c r="Z71" s="7" t="n">
        <f aca="false">Y71/X71</f>
        <v>0.0127433006010387</v>
      </c>
    </row>
    <row r="72" customFormat="false" ht="16.75" hidden="false" customHeight="false" outlineLevel="0" collapsed="false">
      <c r="A72" s="11"/>
      <c r="B72" s="3"/>
      <c r="C72" s="5"/>
      <c r="X72" s="6"/>
      <c r="Y72" s="7"/>
      <c r="Z72" s="7"/>
    </row>
    <row r="73" customFormat="false" ht="15" hidden="false" customHeight="true" outlineLevel="0" collapsed="false">
      <c r="A73" s="1" t="s">
        <v>40</v>
      </c>
      <c r="B73" s="1"/>
      <c r="C73" s="1"/>
    </row>
    <row r="74" customFormat="false" ht="15" hidden="false" customHeight="false" outlineLevel="0" collapsed="false">
      <c r="A74" s="1"/>
      <c r="B74" s="1"/>
      <c r="C74" s="1"/>
      <c r="D74" s="2" t="s">
        <v>29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9.85" hidden="false" customHeight="false" outlineLevel="0" collapsed="false">
      <c r="A77" s="3" t="s">
        <v>2</v>
      </c>
      <c r="B77" s="3" t="s">
        <v>3</v>
      </c>
      <c r="C77" s="3" t="s">
        <v>41</v>
      </c>
      <c r="D77" s="3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3" t="s">
        <v>9</v>
      </c>
      <c r="J77" s="3" t="s">
        <v>10</v>
      </c>
      <c r="K77" s="3" t="s">
        <v>11</v>
      </c>
      <c r="L77" s="3" t="s">
        <v>12</v>
      </c>
      <c r="M77" s="3" t="s">
        <v>13</v>
      </c>
      <c r="N77" s="3" t="s">
        <v>14</v>
      </c>
      <c r="O77" s="3" t="s">
        <v>15</v>
      </c>
      <c r="P77" s="3" t="s">
        <v>16</v>
      </c>
      <c r="Q77" s="3" t="s">
        <v>17</v>
      </c>
      <c r="R77" s="3" t="s">
        <v>18</v>
      </c>
      <c r="S77" s="3" t="s">
        <v>19</v>
      </c>
      <c r="T77" s="3" t="s">
        <v>20</v>
      </c>
      <c r="U77" s="3" t="s">
        <v>21</v>
      </c>
      <c r="V77" s="3" t="s">
        <v>22</v>
      </c>
      <c r="W77" s="3" t="s">
        <v>23</v>
      </c>
      <c r="X77" s="3" t="s">
        <v>24</v>
      </c>
      <c r="Y77" s="3" t="s">
        <v>25</v>
      </c>
      <c r="Z77" s="3" t="s">
        <v>26</v>
      </c>
    </row>
    <row r="78" customFormat="false" ht="16.75" hidden="false" customHeight="false" outlineLevel="0" collapsed="false">
      <c r="A78" s="10" t="n">
        <v>10</v>
      </c>
      <c r="B78" s="4" t="n">
        <v>25</v>
      </c>
      <c r="C78" s="5" t="n">
        <v>0</v>
      </c>
      <c r="D78" s="0" t="n">
        <v>421.1</v>
      </c>
      <c r="E78" s="0" t="n">
        <v>419.1</v>
      </c>
      <c r="F78" s="0" t="n">
        <v>417.8</v>
      </c>
      <c r="G78" s="0" t="n">
        <v>426.9</v>
      </c>
      <c r="H78" s="0" t="n">
        <v>417.5</v>
      </c>
      <c r="I78" s="0" t="n">
        <v>418</v>
      </c>
      <c r="J78" s="0" t="n">
        <v>420.5</v>
      </c>
      <c r="K78" s="0" t="n">
        <v>411.6</v>
      </c>
      <c r="L78" s="0" t="n">
        <v>428.1</v>
      </c>
      <c r="M78" s="0" t="n">
        <v>428.4</v>
      </c>
      <c r="N78" s="0" t="n">
        <v>422.1</v>
      </c>
      <c r="O78" s="0" t="n">
        <v>411.9</v>
      </c>
      <c r="P78" s="0" t="n">
        <v>420.5</v>
      </c>
      <c r="Q78" s="0" t="n">
        <v>434.2</v>
      </c>
      <c r="R78" s="0" t="n">
        <v>419.8</v>
      </c>
      <c r="S78" s="0" t="n">
        <v>420.6</v>
      </c>
      <c r="T78" s="0" t="n">
        <v>420.1</v>
      </c>
      <c r="U78" s="0" t="n">
        <v>415.2</v>
      </c>
      <c r="V78" s="0" t="n">
        <v>421.4</v>
      </c>
      <c r="W78" s="0" t="n">
        <v>441.9</v>
      </c>
      <c r="X78" s="6" t="n">
        <f aca="false">AVERAGE(D78:W78)</f>
        <v>421.835</v>
      </c>
      <c r="Y78" s="7" t="n">
        <f aca="false">_xlfn.STDEV.S(D78:W78)</f>
        <v>7.18655726082787</v>
      </c>
      <c r="Z78" s="7" t="n">
        <f aca="false">Y78/X78</f>
        <v>0.0170364177008258</v>
      </c>
    </row>
    <row r="79" customFormat="false" ht="16.75" hidden="false" customHeight="false" outlineLevel="0" collapsed="false">
      <c r="A79" s="10"/>
      <c r="B79" s="4"/>
      <c r="C79" s="5" t="n">
        <v>2</v>
      </c>
      <c r="D79" s="0" t="n">
        <v>415.5</v>
      </c>
      <c r="E79" s="0" t="n">
        <v>425.2</v>
      </c>
      <c r="F79" s="0" t="n">
        <v>413.7</v>
      </c>
      <c r="G79" s="0" t="n">
        <v>416.9</v>
      </c>
      <c r="H79" s="0" t="n">
        <v>415.1</v>
      </c>
      <c r="I79" s="0" t="n">
        <v>414.3</v>
      </c>
      <c r="J79" s="0" t="n">
        <v>409.6</v>
      </c>
      <c r="K79" s="0" t="n">
        <v>414.5</v>
      </c>
      <c r="L79" s="0" t="n">
        <v>424</v>
      </c>
      <c r="M79" s="0" t="n">
        <v>405.9</v>
      </c>
      <c r="N79" s="0" t="n">
        <v>411.1</v>
      </c>
      <c r="O79" s="0" t="n">
        <v>405.3</v>
      </c>
      <c r="P79" s="0" t="n">
        <v>407</v>
      </c>
      <c r="Q79" s="0" t="n">
        <v>414.7</v>
      </c>
      <c r="R79" s="0" t="n">
        <v>413.5</v>
      </c>
      <c r="S79" s="0" t="n">
        <v>405.1</v>
      </c>
      <c r="T79" s="0" t="n">
        <v>406.4</v>
      </c>
      <c r="U79" s="0" t="n">
        <v>415.9</v>
      </c>
      <c r="V79" s="0" t="n">
        <v>411.8</v>
      </c>
      <c r="W79" s="0" t="n">
        <v>416.4</v>
      </c>
      <c r="X79" s="6" t="n">
        <f aca="false">AVERAGE(D79:W79)</f>
        <v>413.095</v>
      </c>
      <c r="Y79" s="7" t="n">
        <f aca="false">_xlfn.STDEV.S(D79:W79)</f>
        <v>5.57885811745888</v>
      </c>
      <c r="Z79" s="7" t="n">
        <f aca="false">Y79/X79</f>
        <v>0.0135050245523642</v>
      </c>
    </row>
    <row r="80" customFormat="false" ht="16.75" hidden="false" customHeight="false" outlineLevel="0" collapsed="false">
      <c r="A80" s="10"/>
      <c r="B80" s="4"/>
      <c r="C80" s="5" t="n">
        <v>4</v>
      </c>
      <c r="D80" s="0" t="n">
        <v>413.9</v>
      </c>
      <c r="E80" s="0" t="n">
        <v>412.7</v>
      </c>
      <c r="F80" s="0" t="n">
        <v>415.2</v>
      </c>
      <c r="G80" s="0" t="n">
        <v>414.5</v>
      </c>
      <c r="H80" s="0" t="n">
        <v>415.7</v>
      </c>
      <c r="I80" s="0" t="n">
        <v>411.6</v>
      </c>
      <c r="J80" s="0" t="n">
        <v>405.8</v>
      </c>
      <c r="K80" s="0" t="n">
        <v>417.6</v>
      </c>
      <c r="L80" s="0" t="n">
        <v>412.1</v>
      </c>
      <c r="M80" s="0" t="n">
        <v>415.1</v>
      </c>
      <c r="N80" s="0" t="n">
        <v>424.1</v>
      </c>
      <c r="O80" s="0" t="n">
        <v>416.6</v>
      </c>
      <c r="P80" s="0" t="n">
        <v>411.1</v>
      </c>
      <c r="Q80" s="0" t="n">
        <v>411.1</v>
      </c>
      <c r="R80" s="0" t="n">
        <v>404.2</v>
      </c>
      <c r="S80" s="0" t="n">
        <v>406.8</v>
      </c>
      <c r="T80" s="0" t="n">
        <v>415.4</v>
      </c>
      <c r="U80" s="0" t="n">
        <v>412.8</v>
      </c>
      <c r="V80" s="0" t="n">
        <v>415.6</v>
      </c>
      <c r="W80" s="0" t="n">
        <v>412.6</v>
      </c>
      <c r="X80" s="6" t="n">
        <f aca="false">AVERAGE(D80:W80)</f>
        <v>413.225</v>
      </c>
      <c r="Y80" s="7" t="n">
        <f aca="false">_xlfn.STDEV.S(D80:W80)</f>
        <v>4.39160383123596</v>
      </c>
      <c r="Z80" s="7" t="n">
        <f aca="false">Y80/X80</f>
        <v>0.0106276334472405</v>
      </c>
    </row>
    <row r="81" customFormat="false" ht="16.75" hidden="false" customHeight="false" outlineLevel="0" collapsed="false">
      <c r="A81" s="10"/>
      <c r="B81" s="4" t="n">
        <v>38</v>
      </c>
      <c r="C81" s="5" t="n">
        <v>0</v>
      </c>
      <c r="D81" s="0" t="n">
        <v>409.6</v>
      </c>
      <c r="E81" s="0" t="n">
        <v>417.6</v>
      </c>
      <c r="F81" s="0" t="n">
        <v>413.8</v>
      </c>
      <c r="G81" s="0" t="n">
        <v>402.2</v>
      </c>
      <c r="H81" s="0" t="n">
        <v>403.1</v>
      </c>
      <c r="I81" s="0" t="n">
        <v>409.7</v>
      </c>
      <c r="J81" s="0" t="n">
        <v>411.6</v>
      </c>
      <c r="K81" s="0" t="n">
        <v>413.9</v>
      </c>
      <c r="L81" s="0" t="n">
        <v>425.9</v>
      </c>
      <c r="M81" s="0" t="n">
        <v>419.8</v>
      </c>
      <c r="N81" s="0" t="n">
        <v>407.7</v>
      </c>
      <c r="O81" s="0" t="n">
        <v>397.8</v>
      </c>
      <c r="P81" s="0" t="n">
        <v>406</v>
      </c>
      <c r="Q81" s="0" t="n">
        <v>407.4</v>
      </c>
      <c r="R81" s="0" t="n">
        <v>412.1</v>
      </c>
      <c r="S81" s="0" t="n">
        <v>418.2</v>
      </c>
      <c r="T81" s="0" t="n">
        <v>407</v>
      </c>
      <c r="U81" s="0" t="n">
        <v>409.2</v>
      </c>
      <c r="V81" s="0" t="n">
        <v>417.3</v>
      </c>
      <c r="W81" s="0" t="n">
        <v>405.7</v>
      </c>
      <c r="X81" s="6" t="n">
        <f aca="false">AVERAGE(D81:W81)</f>
        <v>410.78</v>
      </c>
      <c r="Y81" s="7" t="n">
        <f aca="false">_xlfn.STDEV.S(D81:W81)</f>
        <v>6.74853590359459</v>
      </c>
      <c r="Z81" s="7" t="n">
        <f aca="false">Y81/X81</f>
        <v>0.0164285892779458</v>
      </c>
    </row>
    <row r="82" customFormat="false" ht="16.75" hidden="false" customHeight="false" outlineLevel="0" collapsed="false">
      <c r="A82" s="10"/>
      <c r="B82" s="4"/>
      <c r="C82" s="5" t="n">
        <v>2</v>
      </c>
      <c r="D82" s="0" t="n">
        <v>413.3</v>
      </c>
      <c r="E82" s="0" t="n">
        <v>411.9</v>
      </c>
      <c r="F82" s="0" t="n">
        <v>408.5</v>
      </c>
      <c r="G82" s="0" t="n">
        <v>414.3</v>
      </c>
      <c r="H82" s="0" t="n">
        <v>419.1</v>
      </c>
      <c r="I82" s="0" t="n">
        <v>417.8</v>
      </c>
      <c r="J82" s="0" t="n">
        <v>417.2</v>
      </c>
      <c r="K82" s="0" t="n">
        <v>409.8</v>
      </c>
      <c r="L82" s="0" t="n">
        <v>411.2</v>
      </c>
      <c r="M82" s="0" t="n">
        <v>408.8</v>
      </c>
      <c r="N82" s="0" t="n">
        <v>415.4</v>
      </c>
      <c r="O82" s="0" t="n">
        <v>408.5</v>
      </c>
      <c r="P82" s="0" t="n">
        <v>411.9</v>
      </c>
      <c r="Q82" s="0" t="n">
        <v>403</v>
      </c>
      <c r="R82" s="0" t="n">
        <v>409.2</v>
      </c>
      <c r="S82" s="0" t="n">
        <v>407.2</v>
      </c>
      <c r="T82" s="0" t="n">
        <v>409.2</v>
      </c>
      <c r="U82" s="0" t="n">
        <v>407.6</v>
      </c>
      <c r="V82" s="0" t="n">
        <v>419.3</v>
      </c>
      <c r="W82" s="0" t="n">
        <v>407.8</v>
      </c>
      <c r="X82" s="6" t="n">
        <f aca="false">AVERAGE(D82:W82)</f>
        <v>411.55</v>
      </c>
      <c r="Y82" s="7" t="n">
        <f aca="false">_xlfn.STDEV.S(D82:W82)</f>
        <v>4.44753036142413</v>
      </c>
      <c r="Z82" s="7" t="n">
        <f aca="false">Y82/X82</f>
        <v>0.0108067801273822</v>
      </c>
    </row>
    <row r="83" customFormat="false" ht="16.75" hidden="false" customHeight="false" outlineLevel="0" collapsed="false">
      <c r="A83" s="10"/>
      <c r="B83" s="4"/>
      <c r="C83" s="5" t="n">
        <v>4</v>
      </c>
      <c r="D83" s="0" t="n">
        <v>411</v>
      </c>
      <c r="E83" s="0" t="n">
        <v>417.2</v>
      </c>
      <c r="F83" s="0" t="n">
        <v>409.4</v>
      </c>
      <c r="G83" s="0" t="n">
        <v>407.7</v>
      </c>
      <c r="H83" s="0" t="n">
        <v>415.4</v>
      </c>
      <c r="I83" s="0" t="n">
        <v>410.1</v>
      </c>
      <c r="J83" s="0" t="n">
        <v>427.6</v>
      </c>
      <c r="K83" s="0" t="n">
        <v>420.5</v>
      </c>
      <c r="L83" s="0" t="n">
        <v>412.4</v>
      </c>
      <c r="M83" s="0" t="n">
        <v>405.6</v>
      </c>
      <c r="N83" s="0" t="n">
        <v>414.8</v>
      </c>
      <c r="O83" s="0" t="n">
        <v>414.9</v>
      </c>
      <c r="P83" s="0" t="n">
        <v>414.1</v>
      </c>
      <c r="Q83" s="0" t="n">
        <v>416.3</v>
      </c>
      <c r="R83" s="0" t="n">
        <v>410.6</v>
      </c>
      <c r="S83" s="0" t="n">
        <v>416.7</v>
      </c>
      <c r="T83" s="0" t="n">
        <v>416.6</v>
      </c>
      <c r="U83" s="0" t="n">
        <v>416.7</v>
      </c>
      <c r="V83" s="0" t="n">
        <v>418.2</v>
      </c>
      <c r="W83" s="0" t="n">
        <v>415.2</v>
      </c>
      <c r="X83" s="6" t="n">
        <f aca="false">AVERAGE(D83:W83)</f>
        <v>414.55</v>
      </c>
      <c r="Y83" s="7" t="n">
        <f aca="false">_xlfn.STDEV.S(D83:W83)</f>
        <v>4.86810240777981</v>
      </c>
      <c r="Z83" s="7" t="n">
        <f aca="false">Y83/X83</f>
        <v>0.0117431007303819</v>
      </c>
    </row>
    <row r="84" customFormat="false" ht="16.75" hidden="false" customHeight="false" outlineLevel="0" collapsed="false">
      <c r="A84" s="10"/>
      <c r="B84" s="4" t="n">
        <v>50</v>
      </c>
      <c r="C84" s="5" t="n">
        <v>0</v>
      </c>
      <c r="D84" s="0" t="n">
        <v>394.8</v>
      </c>
      <c r="E84" s="0" t="n">
        <v>397.9</v>
      </c>
      <c r="F84" s="0" t="n">
        <v>401</v>
      </c>
      <c r="G84" s="0" t="n">
        <v>394.8</v>
      </c>
      <c r="H84" s="0" t="n">
        <v>398.6</v>
      </c>
      <c r="I84" s="0" t="n">
        <v>396.8</v>
      </c>
      <c r="J84" s="0" t="n">
        <v>402.1</v>
      </c>
      <c r="K84" s="0" t="n">
        <v>394.8</v>
      </c>
      <c r="L84" s="0" t="n">
        <v>391.9</v>
      </c>
      <c r="M84" s="0" t="n">
        <v>403.7</v>
      </c>
      <c r="N84" s="0" t="n">
        <v>401.7</v>
      </c>
      <c r="O84" s="0" t="n">
        <v>399.8</v>
      </c>
      <c r="P84" s="0" t="n">
        <v>398.4</v>
      </c>
      <c r="Q84" s="0" t="n">
        <v>392.5</v>
      </c>
      <c r="R84" s="0" t="n">
        <v>401.6</v>
      </c>
      <c r="S84" s="0" t="n">
        <v>398.4</v>
      </c>
      <c r="T84" s="0" t="n">
        <v>396.3</v>
      </c>
      <c r="U84" s="0" t="n">
        <v>399</v>
      </c>
      <c r="V84" s="0" t="n">
        <v>399.3</v>
      </c>
      <c r="W84" s="0" t="n">
        <v>399.5</v>
      </c>
      <c r="X84" s="6" t="n">
        <f aca="false">AVERAGE(D84:W84)</f>
        <v>398.145</v>
      </c>
      <c r="Y84" s="7" t="n">
        <f aca="false">_xlfn.STDEV.S(D84:W84)</f>
        <v>3.21107868414797</v>
      </c>
      <c r="Z84" s="7" t="n">
        <f aca="false">Y84/X84</f>
        <v>0.00806509860515133</v>
      </c>
    </row>
    <row r="85" customFormat="false" ht="16.75" hidden="false" customHeight="false" outlineLevel="0" collapsed="false">
      <c r="A85" s="10"/>
      <c r="B85" s="4"/>
      <c r="C85" s="5" t="n">
        <v>2</v>
      </c>
      <c r="D85" s="0" t="n">
        <v>402.2</v>
      </c>
      <c r="E85" s="0" t="n">
        <v>417.5</v>
      </c>
      <c r="F85" s="0" t="n">
        <v>408.4</v>
      </c>
      <c r="G85" s="0" t="n">
        <v>400.3</v>
      </c>
      <c r="H85" s="0" t="n">
        <v>406.5</v>
      </c>
      <c r="I85" s="0" t="n">
        <v>404.9</v>
      </c>
      <c r="J85" s="0" t="n">
        <v>404.8</v>
      </c>
      <c r="K85" s="0" t="n">
        <v>414.7</v>
      </c>
      <c r="L85" s="0" t="n">
        <v>401.6</v>
      </c>
      <c r="M85" s="0" t="n">
        <v>402.8</v>
      </c>
      <c r="N85" s="0" t="n">
        <v>403.2</v>
      </c>
      <c r="O85" s="0" t="n">
        <v>406.4</v>
      </c>
      <c r="P85" s="0" t="n">
        <v>400</v>
      </c>
      <c r="Q85" s="0" t="n">
        <v>409.4</v>
      </c>
      <c r="R85" s="0" t="n">
        <v>410.3</v>
      </c>
      <c r="S85" s="0" t="n">
        <v>416.1</v>
      </c>
      <c r="T85" s="0" t="n">
        <v>408.3</v>
      </c>
      <c r="U85" s="0" t="n">
        <v>407</v>
      </c>
      <c r="V85" s="0" t="n">
        <v>396.7</v>
      </c>
      <c r="W85" s="0" t="n">
        <v>417.7</v>
      </c>
      <c r="X85" s="6" t="n">
        <f aca="false">AVERAGE(D85:W85)</f>
        <v>406.94</v>
      </c>
      <c r="Y85" s="7" t="n">
        <f aca="false">_xlfn.STDEV.S(D85:W85)</f>
        <v>5.98765396461753</v>
      </c>
      <c r="Z85" s="7" t="n">
        <f aca="false">Y85/X85</f>
        <v>0.014713849620626</v>
      </c>
    </row>
    <row r="86" customFormat="false" ht="16.75" hidden="false" customHeight="false" outlineLevel="0" collapsed="false">
      <c r="A86" s="10"/>
      <c r="B86" s="4"/>
      <c r="C86" s="5" t="n">
        <v>4</v>
      </c>
      <c r="D86" s="0" t="n">
        <v>407.3</v>
      </c>
      <c r="E86" s="0" t="n">
        <v>407</v>
      </c>
      <c r="F86" s="0" t="n">
        <v>402.3</v>
      </c>
      <c r="G86" s="0" t="n">
        <v>411.2</v>
      </c>
      <c r="H86" s="0" t="n">
        <v>413.4</v>
      </c>
      <c r="I86" s="0" t="n">
        <v>405.5</v>
      </c>
      <c r="J86" s="0" t="n">
        <v>410.4</v>
      </c>
      <c r="K86" s="0" t="n">
        <v>399.5</v>
      </c>
      <c r="L86" s="0" t="n">
        <v>416.5</v>
      </c>
      <c r="M86" s="0" t="n">
        <v>403.7</v>
      </c>
      <c r="N86" s="0" t="n">
        <v>409.6</v>
      </c>
      <c r="O86" s="0" t="n">
        <v>393</v>
      </c>
      <c r="P86" s="0" t="n">
        <v>413.6</v>
      </c>
      <c r="Q86" s="0" t="n">
        <v>402.5</v>
      </c>
      <c r="R86" s="0" t="n">
        <v>408.1</v>
      </c>
      <c r="S86" s="0" t="n">
        <v>415.7</v>
      </c>
      <c r="T86" s="0" t="n">
        <v>415.3</v>
      </c>
      <c r="U86" s="0" t="n">
        <v>399.7</v>
      </c>
      <c r="V86" s="0" t="n">
        <v>407.8</v>
      </c>
      <c r="W86" s="0" t="n">
        <v>407.1</v>
      </c>
      <c r="X86" s="6" t="n">
        <f aca="false">AVERAGE(D86:W86)</f>
        <v>407.46</v>
      </c>
      <c r="Y86" s="7" t="n">
        <f aca="false">_xlfn.STDEV.S(D86:W86)</f>
        <v>6.13037304608867</v>
      </c>
      <c r="Z86" s="7" t="n">
        <f aca="false">Y86/X86</f>
        <v>0.0150453370787039</v>
      </c>
    </row>
    <row r="87" customFormat="false" ht="16.75" hidden="false" customHeight="false" outlineLevel="0" collapsed="false">
      <c r="A87" s="10"/>
      <c r="B87" s="4" t="n">
        <v>75</v>
      </c>
      <c r="C87" s="5" t="n">
        <v>0</v>
      </c>
      <c r="D87" s="0" t="n">
        <v>407.5</v>
      </c>
      <c r="E87" s="0" t="n">
        <v>410</v>
      </c>
      <c r="F87" s="0" t="n">
        <v>411.1</v>
      </c>
      <c r="G87" s="0" t="n">
        <v>406.8</v>
      </c>
      <c r="H87" s="0" t="n">
        <v>414.5</v>
      </c>
      <c r="I87" s="0" t="n">
        <v>405.9</v>
      </c>
      <c r="J87" s="0" t="n">
        <v>407.2</v>
      </c>
      <c r="K87" s="0" t="n">
        <v>408.4</v>
      </c>
      <c r="L87" s="0" t="n">
        <v>412.3</v>
      </c>
      <c r="M87" s="0" t="n">
        <v>414.7</v>
      </c>
      <c r="N87" s="0" t="n">
        <v>412.4</v>
      </c>
      <c r="O87" s="0" t="n">
        <v>405.7</v>
      </c>
      <c r="P87" s="0" t="n">
        <v>407.8</v>
      </c>
      <c r="Q87" s="0" t="n">
        <v>410.3</v>
      </c>
      <c r="R87" s="0" t="n">
        <v>400.9</v>
      </c>
      <c r="S87" s="0" t="n">
        <v>405</v>
      </c>
      <c r="T87" s="0" t="n">
        <v>409.8</v>
      </c>
      <c r="U87" s="0" t="n">
        <v>406.8</v>
      </c>
      <c r="V87" s="0" t="n">
        <v>423.2</v>
      </c>
      <c r="W87" s="0" t="n">
        <v>411.6</v>
      </c>
      <c r="X87" s="6" t="n">
        <f aca="false">AVERAGE(D87:W87)</f>
        <v>409.595</v>
      </c>
      <c r="Y87" s="7" t="n">
        <f aca="false">_xlfn.STDEV.S(D87:W87)</f>
        <v>4.66413809942698</v>
      </c>
      <c r="Z87" s="7" t="n">
        <f aca="false">Y87/X87</f>
        <v>0.0113871949106483</v>
      </c>
    </row>
    <row r="88" customFormat="false" ht="16.75" hidden="false" customHeight="false" outlineLevel="0" collapsed="false">
      <c r="A88" s="10"/>
      <c r="B88" s="4"/>
      <c r="C88" s="5" t="n">
        <v>2</v>
      </c>
      <c r="D88" s="0" t="n">
        <v>402.6</v>
      </c>
      <c r="E88" s="0" t="n">
        <v>401.4</v>
      </c>
      <c r="F88" s="0" t="n">
        <v>405.8</v>
      </c>
      <c r="G88" s="0" t="n">
        <v>404.5</v>
      </c>
      <c r="H88" s="0" t="n">
        <v>401.2</v>
      </c>
      <c r="I88" s="0" t="n">
        <v>405</v>
      </c>
      <c r="J88" s="0" t="n">
        <v>405.3</v>
      </c>
      <c r="K88" s="0" t="n">
        <v>404.5</v>
      </c>
      <c r="L88" s="0" t="n">
        <v>404.1</v>
      </c>
      <c r="M88" s="0" t="n">
        <v>404.1</v>
      </c>
      <c r="N88" s="0" t="n">
        <v>408.5</v>
      </c>
      <c r="O88" s="0" t="n">
        <v>406.5</v>
      </c>
      <c r="P88" s="0" t="n">
        <v>395.8</v>
      </c>
      <c r="Q88" s="0" t="n">
        <v>401.3</v>
      </c>
      <c r="R88" s="0" t="n">
        <v>405.3</v>
      </c>
      <c r="S88" s="0" t="n">
        <v>400.5</v>
      </c>
      <c r="T88" s="0" t="n">
        <v>408.2</v>
      </c>
      <c r="U88" s="0" t="n">
        <v>398.4</v>
      </c>
      <c r="V88" s="0" t="n">
        <v>397.3</v>
      </c>
      <c r="W88" s="0" t="n">
        <v>402.9</v>
      </c>
      <c r="X88" s="6" t="n">
        <f aca="false">AVERAGE(D88:W88)</f>
        <v>403.16</v>
      </c>
      <c r="Y88" s="7" t="n">
        <f aca="false">_xlfn.STDEV.S(D88:W88)</f>
        <v>3.39479477714742</v>
      </c>
      <c r="Z88" s="7" t="n">
        <f aca="false">Y88/X88</f>
        <v>0.00842046526725721</v>
      </c>
    </row>
    <row r="89" customFormat="false" ht="16.75" hidden="false" customHeight="false" outlineLevel="0" collapsed="false">
      <c r="A89" s="10"/>
      <c r="B89" s="4"/>
      <c r="C89" s="5" t="n">
        <v>4</v>
      </c>
      <c r="D89" s="0" t="n">
        <v>407.3</v>
      </c>
      <c r="E89" s="0" t="n">
        <v>405.4</v>
      </c>
      <c r="F89" s="0" t="n">
        <v>397.7</v>
      </c>
      <c r="G89" s="0" t="n">
        <v>399.7</v>
      </c>
      <c r="H89" s="0" t="n">
        <v>401.1</v>
      </c>
      <c r="I89" s="0" t="n">
        <v>401.3</v>
      </c>
      <c r="J89" s="0" t="n">
        <v>401.2</v>
      </c>
      <c r="K89" s="0" t="n">
        <v>403.3</v>
      </c>
      <c r="L89" s="0" t="n">
        <v>392.7</v>
      </c>
      <c r="M89" s="0" t="n">
        <v>407.8</v>
      </c>
      <c r="N89" s="0" t="n">
        <v>403.6</v>
      </c>
      <c r="O89" s="0" t="n">
        <v>399</v>
      </c>
      <c r="P89" s="0" t="n">
        <v>399.3</v>
      </c>
      <c r="Q89" s="0" t="n">
        <v>403</v>
      </c>
      <c r="R89" s="0" t="n">
        <v>401</v>
      </c>
      <c r="S89" s="0" t="n">
        <v>410.7</v>
      </c>
      <c r="T89" s="0" t="n">
        <v>391.6</v>
      </c>
      <c r="U89" s="0" t="n">
        <v>399.4</v>
      </c>
      <c r="V89" s="0" t="n">
        <v>395</v>
      </c>
      <c r="W89" s="0" t="n">
        <v>399.8</v>
      </c>
      <c r="X89" s="6" t="n">
        <f aca="false">AVERAGE(D89:W89)</f>
        <v>400.995</v>
      </c>
      <c r="Y89" s="7" t="n">
        <f aca="false">_xlfn.STDEV.S(D89:W89)</f>
        <v>4.76991393500642</v>
      </c>
      <c r="Z89" s="7" t="n">
        <f aca="false">Y89/X89</f>
        <v>0.0118951955386137</v>
      </c>
    </row>
    <row r="90" customFormat="false" ht="16.75" hidden="false" customHeight="false" outlineLevel="0" collapsed="false">
      <c r="A90" s="10"/>
      <c r="B90" s="4" t="n">
        <v>100</v>
      </c>
      <c r="C90" s="5" t="n">
        <v>0</v>
      </c>
      <c r="D90" s="0" t="n">
        <v>411</v>
      </c>
      <c r="E90" s="0" t="n">
        <v>400.8</v>
      </c>
      <c r="F90" s="0" t="n">
        <v>399.9</v>
      </c>
      <c r="G90" s="0" t="n">
        <v>408.7</v>
      </c>
      <c r="H90" s="0" t="n">
        <v>406.4</v>
      </c>
      <c r="I90" s="0" t="n">
        <v>403.1</v>
      </c>
      <c r="J90" s="0" t="n">
        <v>399.2</v>
      </c>
      <c r="K90" s="0" t="n">
        <v>408.7</v>
      </c>
      <c r="L90" s="0" t="n">
        <v>397.1</v>
      </c>
      <c r="M90" s="0" t="n">
        <v>404.8</v>
      </c>
      <c r="N90" s="0" t="n">
        <v>407.8</v>
      </c>
      <c r="O90" s="0" t="n">
        <v>402.5</v>
      </c>
      <c r="P90" s="0" t="n">
        <v>414.4</v>
      </c>
      <c r="Q90" s="0" t="n">
        <v>404.4</v>
      </c>
      <c r="R90" s="0" t="n">
        <v>391.1</v>
      </c>
      <c r="S90" s="0" t="n">
        <v>410.7</v>
      </c>
      <c r="T90" s="0" t="n">
        <v>400.6</v>
      </c>
      <c r="U90" s="0" t="n">
        <v>398.3</v>
      </c>
      <c r="V90" s="0" t="n">
        <v>398.2</v>
      </c>
      <c r="W90" s="0" t="n">
        <v>400.3</v>
      </c>
      <c r="X90" s="6" t="n">
        <f aca="false">AVERAGE(D90:W90)</f>
        <v>403.4</v>
      </c>
      <c r="Y90" s="7" t="n">
        <f aca="false">_xlfn.STDEV.S(D90:W90)</f>
        <v>5.70586032998207</v>
      </c>
      <c r="Z90" s="7" t="n">
        <f aca="false">Y90/X90</f>
        <v>0.0141444232275212</v>
      </c>
    </row>
    <row r="91" customFormat="false" ht="16.75" hidden="false" customHeight="false" outlineLevel="0" collapsed="false">
      <c r="A91" s="10"/>
      <c r="B91" s="4"/>
      <c r="C91" s="5" t="n">
        <v>2</v>
      </c>
      <c r="D91" s="0" t="n">
        <v>396</v>
      </c>
      <c r="E91" s="0" t="n">
        <v>400.9</v>
      </c>
      <c r="F91" s="0" t="n">
        <v>401.7</v>
      </c>
      <c r="G91" s="0" t="n">
        <v>408.6</v>
      </c>
      <c r="H91" s="0" t="n">
        <v>398.6</v>
      </c>
      <c r="I91" s="0" t="n">
        <v>404.5</v>
      </c>
      <c r="J91" s="0" t="n">
        <v>397.1</v>
      </c>
      <c r="K91" s="0" t="n">
        <v>401.7</v>
      </c>
      <c r="L91" s="0" t="n">
        <v>408</v>
      </c>
      <c r="M91" s="0" t="n">
        <v>398.9</v>
      </c>
      <c r="N91" s="0" t="n">
        <v>402</v>
      </c>
      <c r="O91" s="0" t="n">
        <v>402.2</v>
      </c>
      <c r="P91" s="0" t="n">
        <v>404.7</v>
      </c>
      <c r="Q91" s="0" t="n">
        <v>401</v>
      </c>
      <c r="R91" s="0" t="n">
        <v>409.4</v>
      </c>
      <c r="S91" s="0" t="n">
        <v>404.2</v>
      </c>
      <c r="T91" s="0" t="n">
        <v>392.5</v>
      </c>
      <c r="U91" s="0" t="n">
        <v>403.3</v>
      </c>
      <c r="V91" s="0" t="n">
        <v>406.3</v>
      </c>
      <c r="W91" s="0" t="n">
        <v>405.8</v>
      </c>
      <c r="X91" s="6" t="n">
        <f aca="false">AVERAGE(D91:W91)</f>
        <v>402.37</v>
      </c>
      <c r="Y91" s="7" t="n">
        <f aca="false">_xlfn.STDEV.S(D91:W91)</f>
        <v>4.34342818762468</v>
      </c>
      <c r="Z91" s="7" t="n">
        <f aca="false">Y91/X91</f>
        <v>0.0107946123906471</v>
      </c>
    </row>
    <row r="92" customFormat="false" ht="16.75" hidden="false" customHeight="false" outlineLevel="0" collapsed="false">
      <c r="A92" s="10"/>
      <c r="B92" s="4"/>
      <c r="C92" s="5" t="n">
        <v>4</v>
      </c>
      <c r="D92" s="0" t="n">
        <v>394.4</v>
      </c>
      <c r="E92" s="0" t="n">
        <v>400.3</v>
      </c>
      <c r="F92" s="0" t="n">
        <v>397.4</v>
      </c>
      <c r="G92" s="0" t="n">
        <v>402.6</v>
      </c>
      <c r="H92" s="0" t="n">
        <v>403.9</v>
      </c>
      <c r="I92" s="0" t="n">
        <v>402.1</v>
      </c>
      <c r="J92" s="0" t="n">
        <v>405.3</v>
      </c>
      <c r="K92" s="0" t="n">
        <v>396.2</v>
      </c>
      <c r="L92" s="0" t="n">
        <v>399.8</v>
      </c>
      <c r="M92" s="0" t="n">
        <v>393.3</v>
      </c>
      <c r="N92" s="0" t="n">
        <v>400.4</v>
      </c>
      <c r="O92" s="0" t="n">
        <v>395.3</v>
      </c>
      <c r="P92" s="0" t="n">
        <v>399.5</v>
      </c>
      <c r="Q92" s="0" t="n">
        <v>395.1</v>
      </c>
      <c r="R92" s="0" t="n">
        <v>398.2</v>
      </c>
      <c r="S92" s="0" t="n">
        <v>398.6</v>
      </c>
      <c r="T92" s="0" t="n">
        <v>395.8</v>
      </c>
      <c r="U92" s="0" t="n">
        <v>401.4</v>
      </c>
      <c r="V92" s="0" t="n">
        <v>400.3</v>
      </c>
      <c r="W92" s="0" t="n">
        <v>395.3</v>
      </c>
      <c r="X92" s="6" t="n">
        <f aca="false">AVERAGE(D92:W92)</f>
        <v>398.76</v>
      </c>
      <c r="Y92" s="7" t="n">
        <f aca="false">_xlfn.STDEV.S(D92:W92)</f>
        <v>3.36223609803764</v>
      </c>
      <c r="Z92" s="7" t="n">
        <f aca="false">Y92/X92</f>
        <v>0.00843172860376577</v>
      </c>
    </row>
    <row r="93" customFormat="false" ht="16.75" hidden="false" customHeight="false" outlineLevel="0" collapsed="false">
      <c r="A93" s="10"/>
      <c r="B93" s="4" t="n">
        <v>150</v>
      </c>
      <c r="C93" s="5" t="n">
        <v>0</v>
      </c>
      <c r="D93" s="0" t="n">
        <v>430.9</v>
      </c>
      <c r="E93" s="0" t="n">
        <v>427.9</v>
      </c>
      <c r="F93" s="0" t="n">
        <v>423.1</v>
      </c>
      <c r="G93" s="0" t="n">
        <v>419</v>
      </c>
      <c r="H93" s="0" t="n">
        <v>406.6</v>
      </c>
      <c r="I93" s="0" t="n">
        <v>419.7</v>
      </c>
      <c r="J93" s="0" t="n">
        <v>428.2</v>
      </c>
      <c r="K93" s="0" t="n">
        <v>422.4</v>
      </c>
      <c r="L93" s="0" t="n">
        <v>401.5</v>
      </c>
      <c r="M93" s="0" t="n">
        <v>438.9</v>
      </c>
      <c r="N93" s="0" t="n">
        <v>428.7</v>
      </c>
      <c r="O93" s="0" t="n">
        <v>425.1</v>
      </c>
      <c r="P93" s="0" t="n">
        <v>402.8</v>
      </c>
      <c r="Q93" s="0" t="n">
        <v>435.8</v>
      </c>
      <c r="R93" s="0" t="n">
        <v>417.1</v>
      </c>
      <c r="S93" s="0" t="n">
        <v>415.3</v>
      </c>
      <c r="T93" s="0" t="n">
        <v>439.1</v>
      </c>
      <c r="U93" s="0" t="n">
        <v>436.1</v>
      </c>
      <c r="V93" s="0" t="n">
        <v>427</v>
      </c>
      <c r="W93" s="0" t="n">
        <v>427.9</v>
      </c>
      <c r="X93" s="6" t="n">
        <f aca="false">AVERAGE(D93:W93)</f>
        <v>423.655</v>
      </c>
      <c r="Y93" s="7" t="n">
        <f aca="false">_xlfn.STDEV.S(D93:W93)</f>
        <v>10.9781349676719</v>
      </c>
      <c r="Z93" s="7" t="n">
        <f aca="false">Y93/X93</f>
        <v>0.0259129125530725</v>
      </c>
    </row>
    <row r="94" customFormat="false" ht="16.75" hidden="false" customHeight="false" outlineLevel="0" collapsed="false">
      <c r="A94" s="10"/>
      <c r="B94" s="4"/>
      <c r="C94" s="5" t="n">
        <v>2</v>
      </c>
      <c r="D94" s="0" t="n">
        <v>441</v>
      </c>
      <c r="E94" s="0" t="n">
        <v>435.5</v>
      </c>
      <c r="F94" s="0" t="n">
        <v>431.9</v>
      </c>
      <c r="G94" s="0" t="n">
        <v>438.9</v>
      </c>
      <c r="H94" s="0" t="n">
        <v>434.7</v>
      </c>
      <c r="I94" s="0" t="n">
        <v>433.5</v>
      </c>
      <c r="J94" s="0" t="n">
        <v>437</v>
      </c>
      <c r="K94" s="0" t="n">
        <v>437.3</v>
      </c>
      <c r="L94" s="0" t="n">
        <v>434.7</v>
      </c>
      <c r="M94" s="0" t="n">
        <v>436.5</v>
      </c>
      <c r="N94" s="0" t="n">
        <v>440.1</v>
      </c>
      <c r="O94" s="0" t="n">
        <v>433.7</v>
      </c>
      <c r="P94" s="0" t="n">
        <v>438.3</v>
      </c>
      <c r="Q94" s="0" t="n">
        <v>432.7</v>
      </c>
      <c r="R94" s="0" t="n">
        <v>432.4</v>
      </c>
      <c r="S94" s="0" t="n">
        <v>430.1</v>
      </c>
      <c r="T94" s="0" t="n">
        <v>439.9</v>
      </c>
      <c r="U94" s="0" t="n">
        <v>435.5</v>
      </c>
      <c r="V94" s="0" t="n">
        <v>433.8</v>
      </c>
      <c r="W94" s="0" t="n">
        <v>431.9</v>
      </c>
      <c r="X94" s="6" t="n">
        <f aca="false">AVERAGE(D94:W94)</f>
        <v>435.47</v>
      </c>
      <c r="Y94" s="7" t="n">
        <f aca="false">_xlfn.STDEV.S(D94:W94)</f>
        <v>3.08290703548999</v>
      </c>
      <c r="Z94" s="7" t="n">
        <f aca="false">Y94/X94</f>
        <v>0.00707949350239969</v>
      </c>
    </row>
    <row r="95" customFormat="false" ht="16.75" hidden="false" customHeight="false" outlineLevel="0" collapsed="false">
      <c r="A95" s="10"/>
      <c r="B95" s="4"/>
      <c r="C95" s="5" t="n">
        <v>4</v>
      </c>
      <c r="D95" s="0" t="n">
        <v>421.8</v>
      </c>
      <c r="E95" s="0" t="n">
        <v>433.3</v>
      </c>
      <c r="F95" s="0" t="n">
        <v>415.7</v>
      </c>
      <c r="G95" s="0" t="n">
        <v>407.2</v>
      </c>
      <c r="H95" s="0" t="n">
        <v>436.4</v>
      </c>
      <c r="I95" s="0" t="n">
        <v>425</v>
      </c>
      <c r="J95" s="0" t="n">
        <v>439.1</v>
      </c>
      <c r="K95" s="0" t="n">
        <v>422.3</v>
      </c>
      <c r="L95" s="0" t="n">
        <v>421.1</v>
      </c>
      <c r="M95" s="0" t="n">
        <v>434</v>
      </c>
      <c r="N95" s="0" t="n">
        <v>431.2</v>
      </c>
      <c r="O95" s="0" t="n">
        <v>438.6</v>
      </c>
      <c r="P95" s="0" t="n">
        <v>400.6</v>
      </c>
      <c r="Q95" s="0" t="n">
        <v>418.4</v>
      </c>
      <c r="R95" s="0" t="n">
        <v>437.6</v>
      </c>
      <c r="S95" s="0" t="n">
        <v>423.7</v>
      </c>
      <c r="T95" s="0" t="n">
        <v>442.7</v>
      </c>
      <c r="U95" s="0" t="n">
        <v>410.9</v>
      </c>
      <c r="V95" s="0" t="n">
        <v>434.7</v>
      </c>
      <c r="W95" s="0" t="n">
        <v>404.8</v>
      </c>
      <c r="X95" s="6" t="n">
        <f aca="false">AVERAGE(D95:W95)</f>
        <v>424.955</v>
      </c>
      <c r="Y95" s="7" t="n">
        <f aca="false">_xlfn.STDEV.S(D95:W95)</f>
        <v>12.4640314083112</v>
      </c>
      <c r="Z95" s="7" t="n">
        <f aca="false">Y95/X95</f>
        <v>0.0293302382800796</v>
      </c>
    </row>
    <row r="96" customFormat="false" ht="16.75" hidden="false" customHeight="false" outlineLevel="0" collapsed="false">
      <c r="B96" s="3"/>
      <c r="C96" s="5"/>
      <c r="X96" s="6"/>
      <c r="Y96" s="7"/>
      <c r="Z96" s="7"/>
    </row>
    <row r="97" customFormat="false" ht="15" hidden="false" customHeight="true" outlineLevel="0" collapsed="false">
      <c r="A97" s="1" t="s">
        <v>40</v>
      </c>
      <c r="B97" s="1"/>
      <c r="C97" s="1"/>
    </row>
    <row r="98" customFormat="false" ht="15" hidden="false" customHeight="false" outlineLevel="0" collapsed="false">
      <c r="A98" s="1"/>
      <c r="B98" s="1"/>
      <c r="C98" s="1"/>
      <c r="D98" s="2" t="s">
        <v>30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29.85" hidden="false" customHeight="false" outlineLevel="0" collapsed="false">
      <c r="A101" s="3" t="s">
        <v>2</v>
      </c>
      <c r="B101" s="3" t="s">
        <v>3</v>
      </c>
      <c r="C101" s="3" t="s">
        <v>41</v>
      </c>
      <c r="D101" s="3" t="s">
        <v>4</v>
      </c>
      <c r="E101" s="3" t="s">
        <v>5</v>
      </c>
      <c r="F101" s="3" t="s">
        <v>6</v>
      </c>
      <c r="G101" s="3" t="s">
        <v>7</v>
      </c>
      <c r="H101" s="3" t="s">
        <v>8</v>
      </c>
      <c r="I101" s="3" t="s">
        <v>9</v>
      </c>
      <c r="J101" s="3" t="s">
        <v>10</v>
      </c>
      <c r="K101" s="3" t="s">
        <v>11</v>
      </c>
      <c r="L101" s="3" t="s">
        <v>12</v>
      </c>
      <c r="M101" s="3" t="s">
        <v>13</v>
      </c>
      <c r="N101" s="3" t="s">
        <v>14</v>
      </c>
      <c r="O101" s="3" t="s">
        <v>15</v>
      </c>
      <c r="P101" s="3" t="s">
        <v>16</v>
      </c>
      <c r="Q101" s="3" t="s">
        <v>17</v>
      </c>
      <c r="R101" s="3" t="s">
        <v>18</v>
      </c>
      <c r="S101" s="3" t="s">
        <v>19</v>
      </c>
      <c r="T101" s="3" t="s">
        <v>20</v>
      </c>
      <c r="U101" s="3" t="s">
        <v>21</v>
      </c>
      <c r="V101" s="3" t="s">
        <v>22</v>
      </c>
      <c r="W101" s="3" t="s">
        <v>23</v>
      </c>
      <c r="X101" s="3" t="s">
        <v>24</v>
      </c>
      <c r="Y101" s="3" t="s">
        <v>25</v>
      </c>
      <c r="Z101" s="3" t="s">
        <v>26</v>
      </c>
    </row>
    <row r="102" customFormat="false" ht="16.75" hidden="false" customHeight="false" outlineLevel="0" collapsed="false">
      <c r="A102" s="10" t="n">
        <v>10</v>
      </c>
      <c r="B102" s="4" t="n">
        <v>25</v>
      </c>
      <c r="C102" s="5" t="n">
        <v>0</v>
      </c>
      <c r="D102" s="0" t="n">
        <v>405.3</v>
      </c>
      <c r="E102" s="0" t="n">
        <v>409.7</v>
      </c>
      <c r="F102" s="0" t="n">
        <v>411.1</v>
      </c>
      <c r="G102" s="0" t="n">
        <v>393.3</v>
      </c>
      <c r="H102" s="0" t="n">
        <v>397.3</v>
      </c>
      <c r="I102" s="0" t="n">
        <v>405</v>
      </c>
      <c r="J102" s="0" t="n">
        <v>398</v>
      </c>
      <c r="K102" s="0" t="n">
        <v>408.9</v>
      </c>
      <c r="L102" s="0" t="n">
        <v>401.2</v>
      </c>
      <c r="M102" s="0" t="n">
        <v>399.8</v>
      </c>
      <c r="N102" s="0" t="n">
        <v>396.2</v>
      </c>
      <c r="O102" s="0" t="n">
        <v>412.4</v>
      </c>
      <c r="P102" s="0" t="n">
        <v>391.3</v>
      </c>
      <c r="Q102" s="0" t="n">
        <v>401.4</v>
      </c>
      <c r="R102" s="0" t="n">
        <v>402.8</v>
      </c>
      <c r="S102" s="0" t="n">
        <v>400</v>
      </c>
      <c r="T102" s="0" t="n">
        <v>396.5</v>
      </c>
      <c r="U102" s="0" t="n">
        <v>401</v>
      </c>
      <c r="V102" s="0" t="n">
        <v>401.2</v>
      </c>
      <c r="W102" s="0" t="n">
        <v>404.2</v>
      </c>
      <c r="X102" s="6" t="n">
        <f aca="false">AVERAGE(D102:W102)</f>
        <v>401.83</v>
      </c>
      <c r="Y102" s="7" t="n">
        <f aca="false">_xlfn.STDEV.S(D102:W102)</f>
        <v>5.74136422445874</v>
      </c>
      <c r="Z102" s="7" t="n">
        <f aca="false">Y102/X102</f>
        <v>0.0142880427654947</v>
      </c>
    </row>
    <row r="103" customFormat="false" ht="16.75" hidden="false" customHeight="false" outlineLevel="0" collapsed="false">
      <c r="A103" s="10"/>
      <c r="B103" s="4"/>
      <c r="C103" s="5" t="n">
        <v>2</v>
      </c>
      <c r="D103" s="0" t="n">
        <v>418.2</v>
      </c>
      <c r="E103" s="0" t="n">
        <v>409.8</v>
      </c>
      <c r="F103" s="0" t="n">
        <v>399</v>
      </c>
      <c r="G103" s="0" t="n">
        <v>395.1</v>
      </c>
      <c r="H103" s="0" t="n">
        <v>406.4</v>
      </c>
      <c r="I103" s="0" t="n">
        <v>420</v>
      </c>
      <c r="J103" s="0" t="n">
        <v>403</v>
      </c>
      <c r="K103" s="0" t="n">
        <v>400.8</v>
      </c>
      <c r="L103" s="0" t="n">
        <v>412.6</v>
      </c>
      <c r="M103" s="0" t="n">
        <v>413.9</v>
      </c>
      <c r="N103" s="0" t="n">
        <v>400.7</v>
      </c>
      <c r="O103" s="0" t="n">
        <v>412.4</v>
      </c>
      <c r="P103" s="0" t="n">
        <v>404.9</v>
      </c>
      <c r="Q103" s="0" t="n">
        <v>415.1</v>
      </c>
      <c r="R103" s="0" t="n">
        <v>407.3</v>
      </c>
      <c r="S103" s="0" t="n">
        <v>402.6</v>
      </c>
      <c r="T103" s="0" t="n">
        <v>399.8</v>
      </c>
      <c r="U103" s="0" t="n">
        <v>405.1</v>
      </c>
      <c r="V103" s="0" t="n">
        <v>395.5</v>
      </c>
      <c r="W103" s="0" t="n">
        <v>397.3</v>
      </c>
      <c r="X103" s="6" t="n">
        <f aca="false">AVERAGE(D103:W103)</f>
        <v>405.975</v>
      </c>
      <c r="Y103" s="7" t="n">
        <f aca="false">_xlfn.STDEV.S(D103:W103)</f>
        <v>7.47190351284484</v>
      </c>
      <c r="Z103" s="7" t="n">
        <f aca="false">Y103/X103</f>
        <v>0.0184048365363504</v>
      </c>
    </row>
    <row r="104" customFormat="false" ht="16.75" hidden="false" customHeight="false" outlineLevel="0" collapsed="false">
      <c r="A104" s="10"/>
      <c r="B104" s="4"/>
      <c r="C104" s="5" t="n">
        <v>4</v>
      </c>
      <c r="D104" s="0" t="n">
        <v>414.5</v>
      </c>
      <c r="E104" s="0" t="n">
        <v>414.1</v>
      </c>
      <c r="F104" s="0" t="n">
        <v>417.4</v>
      </c>
      <c r="G104" s="0" t="n">
        <v>414.4</v>
      </c>
      <c r="H104" s="0" t="n">
        <v>410.1</v>
      </c>
      <c r="I104" s="0" t="n">
        <v>413.9</v>
      </c>
      <c r="J104" s="0" t="n">
        <v>410.7</v>
      </c>
      <c r="K104" s="0" t="n">
        <v>413.9</v>
      </c>
      <c r="L104" s="0" t="n">
        <v>412.6</v>
      </c>
      <c r="M104" s="0" t="n">
        <v>411.9</v>
      </c>
      <c r="N104" s="0" t="n">
        <v>412.1</v>
      </c>
      <c r="O104" s="0" t="n">
        <v>405.5</v>
      </c>
      <c r="P104" s="0" t="n">
        <v>409.9</v>
      </c>
      <c r="Q104" s="0" t="n">
        <v>412.1</v>
      </c>
      <c r="R104" s="0" t="n">
        <v>421.8</v>
      </c>
      <c r="S104" s="0" t="n">
        <v>410.4</v>
      </c>
      <c r="T104" s="0" t="n">
        <v>404.5</v>
      </c>
      <c r="U104" s="0" t="n">
        <v>413.3</v>
      </c>
      <c r="V104" s="0" t="n">
        <v>407.5</v>
      </c>
      <c r="W104" s="0" t="n">
        <v>404.1</v>
      </c>
      <c r="X104" s="6" t="n">
        <f aca="false">AVERAGE(D104:W104)</f>
        <v>411.735</v>
      </c>
      <c r="Y104" s="7" t="n">
        <f aca="false">_xlfn.STDEV.S(D104:W104)</f>
        <v>4.24850128373462</v>
      </c>
      <c r="Z104" s="7" t="n">
        <f aca="false">Y104/X104</f>
        <v>0.0103185332403964</v>
      </c>
    </row>
    <row r="105" customFormat="false" ht="16.75" hidden="false" customHeight="false" outlineLevel="0" collapsed="false">
      <c r="A105" s="10"/>
      <c r="B105" s="4" t="n">
        <v>38</v>
      </c>
      <c r="C105" s="5" t="n">
        <v>0</v>
      </c>
      <c r="D105" s="0" t="n">
        <v>409.3</v>
      </c>
      <c r="E105" s="0" t="n">
        <v>412.2</v>
      </c>
      <c r="F105" s="0" t="n">
        <v>408.6</v>
      </c>
      <c r="G105" s="0" t="n">
        <v>410.4</v>
      </c>
      <c r="H105" s="0" t="n">
        <v>403</v>
      </c>
      <c r="I105" s="0" t="n">
        <v>414.4</v>
      </c>
      <c r="J105" s="0" t="n">
        <v>403.9</v>
      </c>
      <c r="K105" s="0" t="n">
        <v>407.8</v>
      </c>
      <c r="L105" s="0" t="n">
        <v>410.1</v>
      </c>
      <c r="M105" s="0" t="n">
        <v>413.8</v>
      </c>
      <c r="N105" s="0" t="n">
        <v>409.1</v>
      </c>
      <c r="O105" s="0" t="n">
        <v>404.7</v>
      </c>
      <c r="P105" s="0" t="n">
        <v>404.9</v>
      </c>
      <c r="Q105" s="0" t="n">
        <v>404.6</v>
      </c>
      <c r="R105" s="0" t="n">
        <v>413</v>
      </c>
      <c r="S105" s="0" t="n">
        <v>398.3</v>
      </c>
      <c r="T105" s="0" t="n">
        <v>404.3</v>
      </c>
      <c r="U105" s="0" t="n">
        <v>399.4</v>
      </c>
      <c r="V105" s="0" t="n">
        <v>409</v>
      </c>
      <c r="W105" s="0" t="n">
        <v>419.6</v>
      </c>
      <c r="X105" s="6" t="n">
        <f aca="false">AVERAGE(D105:W105)</f>
        <v>408.02</v>
      </c>
      <c r="Y105" s="7" t="n">
        <f aca="false">_xlfn.STDEV.S(D105:W105)</f>
        <v>5.2408918485713</v>
      </c>
      <c r="Z105" s="7" t="n">
        <f aca="false">Y105/X105</f>
        <v>0.0128446935164239</v>
      </c>
    </row>
    <row r="106" customFormat="false" ht="16.75" hidden="false" customHeight="false" outlineLevel="0" collapsed="false">
      <c r="A106" s="10"/>
      <c r="B106" s="4"/>
      <c r="C106" s="5" t="n">
        <v>2</v>
      </c>
      <c r="D106" s="0" t="n">
        <v>417.6</v>
      </c>
      <c r="E106" s="0" t="n">
        <v>415.2</v>
      </c>
      <c r="F106" s="0" t="n">
        <v>419.8</v>
      </c>
      <c r="G106" s="0" t="n">
        <v>422.1</v>
      </c>
      <c r="H106" s="0" t="n">
        <v>425.1</v>
      </c>
      <c r="I106" s="0" t="n">
        <v>422.8</v>
      </c>
      <c r="J106" s="0" t="n">
        <v>415.7</v>
      </c>
      <c r="K106" s="0" t="n">
        <v>412.3</v>
      </c>
      <c r="L106" s="0" t="n">
        <v>409.7</v>
      </c>
      <c r="M106" s="0" t="n">
        <v>422.7</v>
      </c>
      <c r="N106" s="0" t="n">
        <v>426.6</v>
      </c>
      <c r="O106" s="0" t="n">
        <v>412.2</v>
      </c>
      <c r="P106" s="0" t="n">
        <v>418.2</v>
      </c>
      <c r="Q106" s="0" t="n">
        <v>413.7</v>
      </c>
      <c r="R106" s="0" t="n">
        <v>419.6</v>
      </c>
      <c r="S106" s="0" t="n">
        <v>428.7</v>
      </c>
      <c r="T106" s="0" t="n">
        <v>416.2</v>
      </c>
      <c r="U106" s="0" t="n">
        <v>412.4</v>
      </c>
      <c r="V106" s="0" t="n">
        <v>427.2</v>
      </c>
      <c r="W106" s="0" t="n">
        <v>414.8</v>
      </c>
      <c r="X106" s="6" t="n">
        <f aca="false">AVERAGE(D106:W106)</f>
        <v>418.63</v>
      </c>
      <c r="Y106" s="7" t="n">
        <f aca="false">_xlfn.STDEV.S(D106:W106)</f>
        <v>5.59596659257927</v>
      </c>
      <c r="Z106" s="7" t="n">
        <f aca="false">Y106/X106</f>
        <v>0.013367332949333</v>
      </c>
    </row>
    <row r="107" customFormat="false" ht="16.75" hidden="false" customHeight="false" outlineLevel="0" collapsed="false">
      <c r="A107" s="10"/>
      <c r="B107" s="4"/>
      <c r="C107" s="5" t="n">
        <v>4</v>
      </c>
      <c r="D107" s="0" t="n">
        <v>427.6</v>
      </c>
      <c r="E107" s="0" t="n">
        <v>421.6</v>
      </c>
      <c r="F107" s="0" t="n">
        <v>413.8</v>
      </c>
      <c r="G107" s="0" t="n">
        <v>408.3</v>
      </c>
      <c r="H107" s="0" t="n">
        <v>413.7</v>
      </c>
      <c r="I107" s="0" t="n">
        <v>418.9</v>
      </c>
      <c r="J107" s="0" t="n">
        <v>407.9</v>
      </c>
      <c r="K107" s="0" t="n">
        <v>412.3</v>
      </c>
      <c r="L107" s="0" t="n">
        <v>405.9</v>
      </c>
      <c r="M107" s="0" t="n">
        <v>408.9</v>
      </c>
      <c r="N107" s="0" t="n">
        <v>417.5</v>
      </c>
      <c r="O107" s="0" t="n">
        <v>421.2</v>
      </c>
      <c r="P107" s="0" t="n">
        <v>410.8</v>
      </c>
      <c r="Q107" s="0" t="n">
        <v>416.6</v>
      </c>
      <c r="R107" s="0" t="n">
        <v>402.2</v>
      </c>
      <c r="S107" s="0" t="n">
        <v>415.8</v>
      </c>
      <c r="T107" s="0" t="n">
        <v>416.3</v>
      </c>
      <c r="U107" s="0" t="n">
        <v>410.4</v>
      </c>
      <c r="V107" s="0" t="n">
        <v>429.2</v>
      </c>
      <c r="W107" s="0" t="n">
        <v>420.5</v>
      </c>
      <c r="X107" s="6" t="n">
        <f aca="false">AVERAGE(D107:W107)</f>
        <v>414.97</v>
      </c>
      <c r="Y107" s="7" t="n">
        <f aca="false">_xlfn.STDEV.S(D107:W107)</f>
        <v>6.98630992125239</v>
      </c>
      <c r="Z107" s="7" t="n">
        <f aca="false">Y107/X107</f>
        <v>0.0168356987764233</v>
      </c>
    </row>
    <row r="108" customFormat="false" ht="16.75" hidden="false" customHeight="false" outlineLevel="0" collapsed="false">
      <c r="A108" s="10"/>
      <c r="B108" s="4" t="n">
        <v>50</v>
      </c>
      <c r="C108" s="5" t="n">
        <v>0</v>
      </c>
      <c r="D108" s="0" t="n">
        <v>410.7</v>
      </c>
      <c r="E108" s="0" t="n">
        <v>420</v>
      </c>
      <c r="F108" s="0" t="n">
        <v>411.9</v>
      </c>
      <c r="G108" s="0" t="n">
        <v>404.3</v>
      </c>
      <c r="H108" s="0" t="n">
        <v>415</v>
      </c>
      <c r="I108" s="0" t="n">
        <v>405.6</v>
      </c>
      <c r="J108" s="0" t="n">
        <v>397.1</v>
      </c>
      <c r="K108" s="0" t="n">
        <v>402.2</v>
      </c>
      <c r="L108" s="0" t="n">
        <v>408.4</v>
      </c>
      <c r="M108" s="0" t="n">
        <v>402.5</v>
      </c>
      <c r="N108" s="0" t="n">
        <v>408.8</v>
      </c>
      <c r="O108" s="0" t="n">
        <v>412.6</v>
      </c>
      <c r="P108" s="0" t="n">
        <v>418.4</v>
      </c>
      <c r="Q108" s="0" t="n">
        <v>414.5</v>
      </c>
      <c r="R108" s="0" t="n">
        <v>410.5</v>
      </c>
      <c r="S108" s="0" t="n">
        <v>405.4</v>
      </c>
      <c r="T108" s="0" t="n">
        <v>404.3</v>
      </c>
      <c r="U108" s="0" t="n">
        <v>411.5</v>
      </c>
      <c r="V108" s="0" t="n">
        <v>408.9</v>
      </c>
      <c r="W108" s="0" t="n">
        <v>406.1</v>
      </c>
      <c r="X108" s="6" t="n">
        <f aca="false">AVERAGE(D108:W108)</f>
        <v>408.935</v>
      </c>
      <c r="Y108" s="7" t="n">
        <f aca="false">_xlfn.STDEV.S(D108:W108)</f>
        <v>5.69351200467412</v>
      </c>
      <c r="Z108" s="7" t="n">
        <f aca="false">Y108/X108</f>
        <v>0.0139227799153267</v>
      </c>
    </row>
    <row r="109" customFormat="false" ht="16.75" hidden="false" customHeight="false" outlineLevel="0" collapsed="false">
      <c r="A109" s="10"/>
      <c r="B109" s="4"/>
      <c r="C109" s="5" t="n">
        <v>2</v>
      </c>
      <c r="D109" s="0" t="n">
        <v>410</v>
      </c>
      <c r="E109" s="0" t="n">
        <v>413.8</v>
      </c>
      <c r="F109" s="0" t="n">
        <v>406.2</v>
      </c>
      <c r="G109" s="0" t="n">
        <v>410.6</v>
      </c>
      <c r="H109" s="0" t="n">
        <v>416.5</v>
      </c>
      <c r="I109" s="0" t="n">
        <v>403.5</v>
      </c>
      <c r="J109" s="0" t="n">
        <v>410.7</v>
      </c>
      <c r="K109" s="0" t="n">
        <v>427.5</v>
      </c>
      <c r="L109" s="0" t="n">
        <v>408.4</v>
      </c>
      <c r="M109" s="0" t="n">
        <v>403.9</v>
      </c>
      <c r="N109" s="0" t="n">
        <v>412.8</v>
      </c>
      <c r="O109" s="0" t="n">
        <v>412.4</v>
      </c>
      <c r="P109" s="0" t="n">
        <v>414.5</v>
      </c>
      <c r="Q109" s="0" t="n">
        <v>414.8</v>
      </c>
      <c r="R109" s="0" t="n">
        <v>402.7</v>
      </c>
      <c r="S109" s="0" t="n">
        <v>416.3</v>
      </c>
      <c r="T109" s="0" t="n">
        <v>414.6</v>
      </c>
      <c r="U109" s="0" t="n">
        <v>420.8</v>
      </c>
      <c r="V109" s="0" t="n">
        <v>407</v>
      </c>
      <c r="W109" s="0" t="n">
        <v>405.3</v>
      </c>
      <c r="X109" s="6" t="n">
        <f aca="false">AVERAGE(D109:W109)</f>
        <v>411.615</v>
      </c>
      <c r="Y109" s="7" t="n">
        <f aca="false">_xlfn.STDEV.S(D109:W109)</f>
        <v>6.18506477862516</v>
      </c>
      <c r="Z109" s="7" t="n">
        <f aca="false">Y109/X109</f>
        <v>0.0150263347512242</v>
      </c>
    </row>
    <row r="110" customFormat="false" ht="16.75" hidden="false" customHeight="false" outlineLevel="0" collapsed="false">
      <c r="A110" s="10"/>
      <c r="B110" s="4"/>
      <c r="C110" s="5" t="n">
        <v>4</v>
      </c>
      <c r="D110" s="0" t="n">
        <v>411.1</v>
      </c>
      <c r="E110" s="0" t="n">
        <v>402.3</v>
      </c>
      <c r="F110" s="0" t="n">
        <v>415.1</v>
      </c>
      <c r="G110" s="0" t="n">
        <v>413.6</v>
      </c>
      <c r="H110" s="0" t="n">
        <v>410.9</v>
      </c>
      <c r="I110" s="0" t="n">
        <v>413.6</v>
      </c>
      <c r="J110" s="0" t="n">
        <v>408.6</v>
      </c>
      <c r="K110" s="0" t="n">
        <v>404.4</v>
      </c>
      <c r="L110" s="0" t="n">
        <v>415.4</v>
      </c>
      <c r="M110" s="0" t="n">
        <v>408.9</v>
      </c>
      <c r="N110" s="0" t="n">
        <v>407.2</v>
      </c>
      <c r="O110" s="0" t="n">
        <v>410.3</v>
      </c>
      <c r="P110" s="0" t="n">
        <v>407.2</v>
      </c>
      <c r="Q110" s="0" t="n">
        <v>408.3</v>
      </c>
      <c r="R110" s="0" t="n">
        <v>417.4</v>
      </c>
      <c r="S110" s="0" t="n">
        <v>409.2</v>
      </c>
      <c r="T110" s="0" t="n">
        <v>415.7</v>
      </c>
      <c r="U110" s="0" t="n">
        <v>412.6</v>
      </c>
      <c r="V110" s="0" t="n">
        <v>405</v>
      </c>
      <c r="W110" s="0" t="n">
        <v>408.1</v>
      </c>
      <c r="X110" s="6" t="n">
        <f aca="false">AVERAGE(D110:W110)</f>
        <v>410.245</v>
      </c>
      <c r="Y110" s="7" t="n">
        <f aca="false">_xlfn.STDEV.S(D110:W110)</f>
        <v>4.08881336537168</v>
      </c>
      <c r="Z110" s="7" t="n">
        <f aca="false">Y110/X110</f>
        <v>0.00996675977859982</v>
      </c>
    </row>
    <row r="111" customFormat="false" ht="16.75" hidden="false" customHeight="false" outlineLevel="0" collapsed="false">
      <c r="A111" s="10"/>
      <c r="B111" s="4" t="n">
        <v>75</v>
      </c>
      <c r="C111" s="5" t="n">
        <v>0</v>
      </c>
      <c r="D111" s="0" t="n">
        <v>413.1</v>
      </c>
      <c r="E111" s="0" t="n">
        <v>424.6</v>
      </c>
      <c r="F111" s="0" t="n">
        <v>415.2</v>
      </c>
      <c r="G111" s="0" t="n">
        <v>410.2</v>
      </c>
      <c r="H111" s="0" t="n">
        <v>414.3</v>
      </c>
      <c r="I111" s="0" t="n">
        <v>416.5</v>
      </c>
      <c r="J111" s="0" t="n">
        <v>419.7</v>
      </c>
      <c r="K111" s="0" t="n">
        <v>423.8</v>
      </c>
      <c r="L111" s="0" t="n">
        <v>422.7</v>
      </c>
      <c r="M111" s="0" t="n">
        <v>409.4</v>
      </c>
      <c r="N111" s="0" t="n">
        <v>418</v>
      </c>
      <c r="O111" s="0" t="n">
        <v>411.4</v>
      </c>
      <c r="P111" s="0" t="n">
        <v>415.7</v>
      </c>
      <c r="Q111" s="0" t="n">
        <v>417.1</v>
      </c>
      <c r="R111" s="0" t="n">
        <v>410.3</v>
      </c>
      <c r="S111" s="0" t="n">
        <v>413.5</v>
      </c>
      <c r="T111" s="0" t="n">
        <v>411.8</v>
      </c>
      <c r="U111" s="0" t="n">
        <v>418.3</v>
      </c>
      <c r="V111" s="0" t="n">
        <v>411.9</v>
      </c>
      <c r="W111" s="0" t="n">
        <v>412.8</v>
      </c>
      <c r="X111" s="6" t="n">
        <f aca="false">AVERAGE(D111:W111)</f>
        <v>415.515</v>
      </c>
      <c r="Y111" s="7" t="n">
        <f aca="false">_xlfn.STDEV.S(D111:W111)</f>
        <v>4.54941002537114</v>
      </c>
      <c r="Z111" s="7" t="n">
        <f aca="false">Y111/X111</f>
        <v>0.0109488466730952</v>
      </c>
    </row>
    <row r="112" customFormat="false" ht="16.75" hidden="false" customHeight="false" outlineLevel="0" collapsed="false">
      <c r="A112" s="10"/>
      <c r="B112" s="4"/>
      <c r="C112" s="5" t="n">
        <v>2</v>
      </c>
      <c r="D112" s="0" t="n">
        <v>415.2</v>
      </c>
      <c r="E112" s="0" t="n">
        <v>393.2</v>
      </c>
      <c r="F112" s="0" t="n">
        <v>405.3</v>
      </c>
      <c r="G112" s="0" t="n">
        <v>399.1</v>
      </c>
      <c r="H112" s="0" t="n">
        <v>401.4</v>
      </c>
      <c r="I112" s="0" t="n">
        <v>411.7</v>
      </c>
      <c r="J112" s="0" t="n">
        <v>402.3</v>
      </c>
      <c r="K112" s="0" t="n">
        <v>401</v>
      </c>
      <c r="L112" s="0" t="n">
        <v>393</v>
      </c>
      <c r="M112" s="0" t="n">
        <v>413.2</v>
      </c>
      <c r="N112" s="0" t="n">
        <v>399.5</v>
      </c>
      <c r="O112" s="0" t="n">
        <v>402.3</v>
      </c>
      <c r="P112" s="0" t="n">
        <v>399.4</v>
      </c>
      <c r="Q112" s="0" t="n">
        <v>389.3</v>
      </c>
      <c r="R112" s="0" t="n">
        <v>408.9</v>
      </c>
      <c r="S112" s="0" t="n">
        <v>408.5</v>
      </c>
      <c r="T112" s="0" t="n">
        <v>403.7</v>
      </c>
      <c r="U112" s="0" t="n">
        <v>409.5</v>
      </c>
      <c r="V112" s="0" t="n">
        <v>395.5</v>
      </c>
      <c r="W112" s="0" t="n">
        <v>406.3</v>
      </c>
      <c r="X112" s="6" t="n">
        <f aca="false">AVERAGE(D112:W112)</f>
        <v>402.915</v>
      </c>
      <c r="Y112" s="7" t="n">
        <f aca="false">_xlfn.STDEV.S(D112:W112)</f>
        <v>7.035045729848</v>
      </c>
      <c r="Z112" s="7" t="n">
        <f aca="false">Y112/X112</f>
        <v>0.0174603718646563</v>
      </c>
    </row>
    <row r="113" customFormat="false" ht="16.75" hidden="false" customHeight="false" outlineLevel="0" collapsed="false">
      <c r="A113" s="10"/>
      <c r="B113" s="4"/>
      <c r="C113" s="5" t="n">
        <v>4</v>
      </c>
      <c r="D113" s="0" t="n">
        <v>410.3</v>
      </c>
      <c r="E113" s="0" t="n">
        <v>409</v>
      </c>
      <c r="F113" s="0" t="n">
        <v>396.2</v>
      </c>
      <c r="G113" s="0" t="n">
        <v>398</v>
      </c>
      <c r="H113" s="0" t="n">
        <v>401.9</v>
      </c>
      <c r="I113" s="0" t="n">
        <v>397.6</v>
      </c>
      <c r="J113" s="0" t="n">
        <v>405.8</v>
      </c>
      <c r="K113" s="0" t="n">
        <v>409.5</v>
      </c>
      <c r="L113" s="0" t="n">
        <v>397.3</v>
      </c>
      <c r="M113" s="0" t="n">
        <v>404</v>
      </c>
      <c r="N113" s="0" t="n">
        <v>400</v>
      </c>
      <c r="O113" s="0" t="n">
        <v>401.1</v>
      </c>
      <c r="P113" s="0" t="n">
        <v>408</v>
      </c>
      <c r="Q113" s="0" t="n">
        <v>402.2</v>
      </c>
      <c r="R113" s="0" t="n">
        <v>408.6</v>
      </c>
      <c r="S113" s="0" t="n">
        <v>407.7</v>
      </c>
      <c r="T113" s="0" t="n">
        <v>403</v>
      </c>
      <c r="U113" s="0" t="n">
        <v>402.2</v>
      </c>
      <c r="V113" s="0" t="n">
        <v>400.5</v>
      </c>
      <c r="W113" s="0" t="n">
        <v>412.3</v>
      </c>
      <c r="X113" s="6" t="n">
        <f aca="false">AVERAGE(D113:W113)</f>
        <v>403.76</v>
      </c>
      <c r="Y113" s="7" t="n">
        <f aca="false">_xlfn.STDEV.S(D113:W113)</f>
        <v>4.85585918464</v>
      </c>
      <c r="Z113" s="7" t="n">
        <f aca="false">Y113/X113</f>
        <v>0.012026597940955</v>
      </c>
    </row>
    <row r="114" customFormat="false" ht="16.75" hidden="false" customHeight="false" outlineLevel="0" collapsed="false">
      <c r="A114" s="10"/>
      <c r="B114" s="4" t="n">
        <v>100</v>
      </c>
      <c r="C114" s="5" t="n">
        <v>0</v>
      </c>
      <c r="D114" s="0" t="n">
        <v>406</v>
      </c>
      <c r="E114" s="0" t="n">
        <v>405.1</v>
      </c>
      <c r="F114" s="0" t="n">
        <v>404.1</v>
      </c>
      <c r="G114" s="0" t="n">
        <v>416.7</v>
      </c>
      <c r="H114" s="0" t="n">
        <v>411.1</v>
      </c>
      <c r="I114" s="0" t="n">
        <v>409.7</v>
      </c>
      <c r="J114" s="0" t="n">
        <v>420.6</v>
      </c>
      <c r="K114" s="0" t="n">
        <v>416.7</v>
      </c>
      <c r="L114" s="0" t="n">
        <v>414.2</v>
      </c>
      <c r="M114" s="0" t="n">
        <v>409.7</v>
      </c>
      <c r="N114" s="0" t="n">
        <v>400.3</v>
      </c>
      <c r="O114" s="0" t="n">
        <v>414.7</v>
      </c>
      <c r="P114" s="0" t="n">
        <v>412.6</v>
      </c>
      <c r="Q114" s="0" t="n">
        <v>409.8</v>
      </c>
      <c r="R114" s="0" t="n">
        <v>409.4</v>
      </c>
      <c r="S114" s="0" t="n">
        <v>416.5</v>
      </c>
      <c r="T114" s="0" t="n">
        <v>404.4</v>
      </c>
      <c r="U114" s="0" t="n">
        <v>419.6</v>
      </c>
      <c r="V114" s="0" t="n">
        <v>410.2</v>
      </c>
      <c r="W114" s="0" t="n">
        <v>419.1</v>
      </c>
      <c r="X114" s="6" t="n">
        <f aca="false">AVERAGE(D114:W114)</f>
        <v>411.525</v>
      </c>
      <c r="Y114" s="7" t="n">
        <f aca="false">_xlfn.STDEV.S(D114:W114)</f>
        <v>5.71902411623743</v>
      </c>
      <c r="Z114" s="7" t="n">
        <f aca="false">Y114/X114</f>
        <v>0.013897148693852</v>
      </c>
    </row>
    <row r="115" customFormat="false" ht="16.75" hidden="false" customHeight="false" outlineLevel="0" collapsed="false">
      <c r="A115" s="10"/>
      <c r="B115" s="4"/>
      <c r="C115" s="5" t="n">
        <v>2</v>
      </c>
      <c r="D115" s="0" t="n">
        <v>400.8</v>
      </c>
      <c r="E115" s="0" t="n">
        <v>389.4</v>
      </c>
      <c r="F115" s="0" t="n">
        <v>399</v>
      </c>
      <c r="G115" s="0" t="n">
        <v>396.3</v>
      </c>
      <c r="H115" s="0" t="n">
        <v>392.6</v>
      </c>
      <c r="I115" s="0" t="n">
        <v>395.6</v>
      </c>
      <c r="J115" s="0" t="n">
        <v>389.1</v>
      </c>
      <c r="K115" s="0" t="n">
        <v>398.8</v>
      </c>
      <c r="L115" s="0" t="n">
        <v>391.2</v>
      </c>
      <c r="M115" s="0" t="n">
        <v>398.6</v>
      </c>
      <c r="N115" s="0" t="n">
        <v>391.3</v>
      </c>
      <c r="O115" s="0" t="n">
        <v>393.2</v>
      </c>
      <c r="P115" s="0" t="n">
        <v>397.3</v>
      </c>
      <c r="Q115" s="0" t="n">
        <v>391.4</v>
      </c>
      <c r="R115" s="0" t="n">
        <v>395.9</v>
      </c>
      <c r="S115" s="0" t="n">
        <v>394.7</v>
      </c>
      <c r="T115" s="0" t="n">
        <v>392.4</v>
      </c>
      <c r="U115" s="0" t="n">
        <v>399.8</v>
      </c>
      <c r="V115" s="0" t="n">
        <v>393.6</v>
      </c>
      <c r="W115" s="0" t="n">
        <v>390.1</v>
      </c>
      <c r="X115" s="6" t="n">
        <f aca="false">AVERAGE(D115:W115)</f>
        <v>394.555</v>
      </c>
      <c r="Y115" s="7" t="n">
        <f aca="false">_xlfn.STDEV.S(D115:W115)</f>
        <v>3.65160022600042</v>
      </c>
      <c r="Z115" s="7" t="n">
        <f aca="false">Y115/X115</f>
        <v>0.00925498403517995</v>
      </c>
    </row>
    <row r="116" customFormat="false" ht="16.75" hidden="false" customHeight="false" outlineLevel="0" collapsed="false">
      <c r="A116" s="10"/>
      <c r="B116" s="4"/>
      <c r="C116" s="5" t="n">
        <v>4</v>
      </c>
      <c r="D116" s="0" t="n">
        <v>394.3</v>
      </c>
      <c r="E116" s="0" t="n">
        <v>401.1</v>
      </c>
      <c r="F116" s="0" t="n">
        <v>393.5</v>
      </c>
      <c r="G116" s="0" t="n">
        <v>397.7</v>
      </c>
      <c r="H116" s="0" t="n">
        <v>395.2</v>
      </c>
      <c r="I116" s="0" t="n">
        <v>393.6</v>
      </c>
      <c r="J116" s="0" t="n">
        <v>396.2</v>
      </c>
      <c r="K116" s="0" t="n">
        <v>390.7</v>
      </c>
      <c r="L116" s="0" t="n">
        <v>399.1</v>
      </c>
      <c r="M116" s="0" t="n">
        <v>395</v>
      </c>
      <c r="N116" s="0" t="n">
        <v>397</v>
      </c>
      <c r="O116" s="0" t="n">
        <v>399.8</v>
      </c>
      <c r="P116" s="0" t="n">
        <v>406.7</v>
      </c>
      <c r="Q116" s="0" t="n">
        <v>401</v>
      </c>
      <c r="R116" s="0" t="n">
        <v>399.9</v>
      </c>
      <c r="S116" s="0" t="n">
        <v>391.5</v>
      </c>
      <c r="T116" s="0" t="n">
        <v>397.7</v>
      </c>
      <c r="U116" s="0" t="n">
        <v>400.3</v>
      </c>
      <c r="V116" s="0" t="n">
        <v>401.4</v>
      </c>
      <c r="W116" s="0" t="n">
        <v>402.2</v>
      </c>
      <c r="X116" s="6" t="n">
        <f aca="false">AVERAGE(D116:W116)</f>
        <v>397.695</v>
      </c>
      <c r="Y116" s="7" t="n">
        <f aca="false">_xlfn.STDEV.S(D116:W116)</f>
        <v>4.00716135253662</v>
      </c>
      <c r="Z116" s="7" t="n">
        <f aca="false">Y116/X116</f>
        <v>0.0100759661362014</v>
      </c>
    </row>
    <row r="117" customFormat="false" ht="16.75" hidden="false" customHeight="false" outlineLevel="0" collapsed="false">
      <c r="A117" s="10"/>
      <c r="B117" s="4" t="n">
        <v>150</v>
      </c>
      <c r="C117" s="5" t="n">
        <v>0</v>
      </c>
      <c r="D117" s="0" t="n">
        <v>437</v>
      </c>
      <c r="E117" s="0" t="n">
        <v>438.6</v>
      </c>
      <c r="F117" s="0" t="n">
        <v>435.3</v>
      </c>
      <c r="G117" s="0" t="n">
        <v>411.8</v>
      </c>
      <c r="H117" s="0" t="n">
        <v>445.5</v>
      </c>
      <c r="I117" s="0" t="n">
        <v>431</v>
      </c>
      <c r="J117" s="0" t="n">
        <v>447.9</v>
      </c>
      <c r="K117" s="0" t="n">
        <v>423.1</v>
      </c>
      <c r="L117" s="0" t="n">
        <v>414</v>
      </c>
      <c r="M117" s="0" t="n">
        <v>440.2</v>
      </c>
      <c r="N117" s="0" t="n">
        <v>428</v>
      </c>
      <c r="O117" s="0" t="n">
        <v>440</v>
      </c>
      <c r="P117" s="0" t="n">
        <v>409.5</v>
      </c>
      <c r="Q117" s="0" t="n">
        <v>438.3</v>
      </c>
      <c r="R117" s="0" t="n">
        <v>448.8</v>
      </c>
      <c r="S117" s="0" t="n">
        <v>439.3</v>
      </c>
      <c r="T117" s="0" t="n">
        <v>424.2</v>
      </c>
      <c r="U117" s="0" t="n">
        <v>443.2</v>
      </c>
      <c r="V117" s="0" t="n">
        <v>444.8</v>
      </c>
      <c r="W117" s="0" t="n">
        <v>428.7</v>
      </c>
      <c r="X117" s="6" t="n">
        <f aca="false">AVERAGE(D117:W117)</f>
        <v>433.46</v>
      </c>
      <c r="Y117" s="7" t="n">
        <f aca="false">_xlfn.STDEV.S(D117:W117)</f>
        <v>11.8629187852427</v>
      </c>
      <c r="Z117" s="7" t="n">
        <f aca="false">Y117/X117</f>
        <v>0.0273679665603347</v>
      </c>
    </row>
    <row r="118" customFormat="false" ht="16.75" hidden="false" customHeight="false" outlineLevel="0" collapsed="false">
      <c r="A118" s="10"/>
      <c r="B118" s="4"/>
      <c r="C118" s="5" t="n">
        <v>2</v>
      </c>
      <c r="D118" s="0" t="n">
        <v>432.7</v>
      </c>
      <c r="E118" s="0" t="n">
        <v>432.9</v>
      </c>
      <c r="F118" s="0" t="n">
        <v>434.6</v>
      </c>
      <c r="G118" s="0" t="n">
        <v>430.7</v>
      </c>
      <c r="H118" s="0" t="n">
        <v>425.1</v>
      </c>
      <c r="I118" s="0" t="n">
        <v>432.4</v>
      </c>
      <c r="J118" s="0" t="n">
        <v>431.2</v>
      </c>
      <c r="K118" s="0" t="n">
        <v>437.7</v>
      </c>
      <c r="L118" s="0" t="n">
        <v>432.8</v>
      </c>
      <c r="M118" s="0" t="n">
        <v>432.5</v>
      </c>
      <c r="N118" s="0" t="n">
        <v>435.5</v>
      </c>
      <c r="O118" s="0" t="n">
        <v>423.8</v>
      </c>
      <c r="P118" s="0" t="n">
        <v>435</v>
      </c>
      <c r="Q118" s="0" t="n">
        <v>436.5</v>
      </c>
      <c r="R118" s="0" t="n">
        <v>430.5</v>
      </c>
      <c r="S118" s="0" t="n">
        <v>427.9</v>
      </c>
      <c r="T118" s="0" t="n">
        <v>431.3</v>
      </c>
      <c r="U118" s="0" t="n">
        <v>432.9</v>
      </c>
      <c r="V118" s="0" t="n">
        <v>429.7</v>
      </c>
      <c r="W118" s="0" t="n">
        <v>433.6</v>
      </c>
      <c r="X118" s="6" t="n">
        <f aca="false">AVERAGE(D118:W118)</f>
        <v>431.965</v>
      </c>
      <c r="Y118" s="7" t="n">
        <f aca="false">_xlfn.STDEV.S(D118:W118)</f>
        <v>3.46763608240542</v>
      </c>
      <c r="Z118" s="7" t="n">
        <f aca="false">Y118/X118</f>
        <v>0.00802758575904394</v>
      </c>
    </row>
    <row r="119" customFormat="false" ht="16.75" hidden="false" customHeight="false" outlineLevel="0" collapsed="false">
      <c r="A119" s="10"/>
      <c r="B119" s="4"/>
      <c r="C119" s="5" t="n">
        <v>4</v>
      </c>
      <c r="D119" s="0" t="n">
        <v>423.9</v>
      </c>
      <c r="E119" s="0" t="n">
        <v>430.2</v>
      </c>
      <c r="F119" s="0" t="n">
        <v>437.1</v>
      </c>
      <c r="G119" s="0" t="n">
        <v>436.8</v>
      </c>
      <c r="H119" s="0" t="n">
        <v>427.7</v>
      </c>
      <c r="I119" s="0" t="n">
        <v>429.8</v>
      </c>
      <c r="J119" s="0" t="n">
        <v>433.3</v>
      </c>
      <c r="K119" s="0" t="n">
        <v>439.6</v>
      </c>
      <c r="L119" s="0" t="n">
        <v>429.8</v>
      </c>
      <c r="M119" s="0" t="n">
        <v>418.2</v>
      </c>
      <c r="N119" s="0" t="n">
        <v>433.5</v>
      </c>
      <c r="O119" s="0" t="n">
        <v>421.3</v>
      </c>
      <c r="P119" s="0" t="n">
        <v>445.2</v>
      </c>
      <c r="Q119" s="0" t="n">
        <v>434.6</v>
      </c>
      <c r="R119" s="0" t="n">
        <v>430.1</v>
      </c>
      <c r="S119" s="0" t="n">
        <v>440.9</v>
      </c>
      <c r="T119" s="0" t="n">
        <v>426.9</v>
      </c>
      <c r="U119" s="0" t="n">
        <v>422.8</v>
      </c>
      <c r="V119" s="0" t="n">
        <v>423.5</v>
      </c>
      <c r="W119" s="0" t="n">
        <v>434.5</v>
      </c>
      <c r="X119" s="6" t="n">
        <f aca="false">AVERAGE(D119:W119)</f>
        <v>430.985</v>
      </c>
      <c r="Y119" s="7" t="n">
        <f aca="false">_xlfn.STDEV.S(D119:W119)</f>
        <v>7.05267959528038</v>
      </c>
      <c r="Z119" s="7" t="n">
        <f aca="false">Y119/X119</f>
        <v>0.0163640952591862</v>
      </c>
    </row>
    <row r="120" customFormat="false" ht="16.75" hidden="false" customHeight="false" outlineLevel="0" collapsed="false">
      <c r="B120" s="3"/>
      <c r="C120" s="5"/>
      <c r="X120" s="6"/>
      <c r="Y120" s="7"/>
      <c r="Z120" s="7"/>
    </row>
    <row r="121" customFormat="false" ht="15" hidden="false" customHeight="true" outlineLevel="0" collapsed="false">
      <c r="A121" s="1" t="s">
        <v>40</v>
      </c>
      <c r="B121" s="1"/>
      <c r="C121" s="1"/>
    </row>
    <row r="122" customFormat="false" ht="15" hidden="false" customHeight="false" outlineLevel="0" collapsed="false">
      <c r="A122" s="1"/>
      <c r="B122" s="1"/>
      <c r="C122" s="1"/>
      <c r="D122" s="2" t="s">
        <v>31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9.85" hidden="false" customHeight="false" outlineLevel="0" collapsed="false">
      <c r="A125" s="3" t="s">
        <v>2</v>
      </c>
      <c r="B125" s="3" t="s">
        <v>3</v>
      </c>
      <c r="C125" s="3" t="s">
        <v>41</v>
      </c>
      <c r="D125" s="3" t="s">
        <v>4</v>
      </c>
      <c r="E125" s="3" t="s">
        <v>5</v>
      </c>
      <c r="F125" s="3" t="s">
        <v>6</v>
      </c>
      <c r="G125" s="3" t="s">
        <v>7</v>
      </c>
      <c r="H125" s="3" t="s">
        <v>8</v>
      </c>
      <c r="I125" s="3" t="s">
        <v>9</v>
      </c>
      <c r="J125" s="3" t="s">
        <v>10</v>
      </c>
      <c r="K125" s="3" t="s">
        <v>11</v>
      </c>
      <c r="L125" s="3" t="s">
        <v>12</v>
      </c>
      <c r="M125" s="3" t="s">
        <v>13</v>
      </c>
      <c r="N125" s="3" t="s">
        <v>14</v>
      </c>
      <c r="O125" s="3" t="s">
        <v>15</v>
      </c>
      <c r="P125" s="3" t="s">
        <v>16</v>
      </c>
      <c r="Q125" s="3" t="s">
        <v>17</v>
      </c>
      <c r="R125" s="3" t="s">
        <v>18</v>
      </c>
      <c r="S125" s="3" t="s">
        <v>19</v>
      </c>
      <c r="T125" s="3" t="s">
        <v>20</v>
      </c>
      <c r="U125" s="3" t="s">
        <v>21</v>
      </c>
      <c r="V125" s="3" t="s">
        <v>22</v>
      </c>
      <c r="W125" s="3" t="s">
        <v>23</v>
      </c>
      <c r="X125" s="3" t="s">
        <v>24</v>
      </c>
      <c r="Y125" s="3" t="s">
        <v>25</v>
      </c>
      <c r="Z125" s="3" t="s">
        <v>26</v>
      </c>
    </row>
    <row r="126" customFormat="false" ht="16.75" hidden="false" customHeight="false" outlineLevel="0" collapsed="false">
      <c r="A126" s="10" t="n">
        <v>10</v>
      </c>
      <c r="B126" s="4" t="n">
        <v>25</v>
      </c>
      <c r="C126" s="5" t="n">
        <v>0</v>
      </c>
      <c r="D126" s="0" t="n">
        <v>413</v>
      </c>
      <c r="E126" s="0" t="n">
        <v>382.5</v>
      </c>
      <c r="F126" s="0" t="n">
        <v>397.5</v>
      </c>
      <c r="G126" s="0" t="n">
        <v>386.6</v>
      </c>
      <c r="H126" s="0" t="n">
        <v>403.5</v>
      </c>
      <c r="I126" s="0" t="n">
        <v>401.9</v>
      </c>
      <c r="J126" s="0" t="n">
        <v>399.2</v>
      </c>
      <c r="K126" s="0" t="n">
        <v>402.9</v>
      </c>
      <c r="L126" s="0" t="n">
        <v>398</v>
      </c>
      <c r="M126" s="0" t="n">
        <v>394.5</v>
      </c>
      <c r="N126" s="0" t="n">
        <v>400.4</v>
      </c>
      <c r="O126" s="0" t="n">
        <v>396</v>
      </c>
      <c r="P126" s="0" t="n">
        <v>403.7</v>
      </c>
      <c r="Q126" s="0" t="n">
        <v>398.6</v>
      </c>
      <c r="R126" s="0" t="n">
        <v>404.8</v>
      </c>
      <c r="S126" s="0" t="n">
        <v>388.4</v>
      </c>
      <c r="T126" s="0" t="n">
        <v>390.2</v>
      </c>
      <c r="U126" s="0" t="n">
        <v>389.4</v>
      </c>
      <c r="V126" s="0" t="n">
        <v>391.5</v>
      </c>
      <c r="W126" s="0" t="n">
        <v>400.8</v>
      </c>
      <c r="X126" s="6" t="n">
        <f aca="false">AVERAGE(D126:W126)</f>
        <v>397.17</v>
      </c>
      <c r="Y126" s="7" t="n">
        <f aca="false">_xlfn.STDEV.S(D126:W126)</f>
        <v>7.36543134835757</v>
      </c>
      <c r="Z126" s="7" t="n">
        <f aca="false">Y126/X126</f>
        <v>0.018544782708557</v>
      </c>
    </row>
    <row r="127" customFormat="false" ht="16.75" hidden="false" customHeight="false" outlineLevel="0" collapsed="false">
      <c r="A127" s="10"/>
      <c r="B127" s="4"/>
      <c r="C127" s="5" t="n">
        <v>2</v>
      </c>
      <c r="D127" s="0" t="n">
        <v>393.8</v>
      </c>
      <c r="E127" s="0" t="n">
        <v>387.5</v>
      </c>
      <c r="F127" s="0" t="n">
        <v>386.3</v>
      </c>
      <c r="G127" s="0" t="n">
        <v>392.2</v>
      </c>
      <c r="H127" s="0" t="n">
        <v>395</v>
      </c>
      <c r="I127" s="0" t="n">
        <v>376.3</v>
      </c>
      <c r="J127" s="0" t="n">
        <v>383.4</v>
      </c>
      <c r="K127" s="0" t="n">
        <v>384.6</v>
      </c>
      <c r="L127" s="0" t="n">
        <v>391.4</v>
      </c>
      <c r="M127" s="0" t="n">
        <v>383.7</v>
      </c>
      <c r="N127" s="0" t="n">
        <v>385.2</v>
      </c>
      <c r="O127" s="0" t="n">
        <v>389.4</v>
      </c>
      <c r="P127" s="0" t="n">
        <v>388.8</v>
      </c>
      <c r="Q127" s="0" t="n">
        <v>386</v>
      </c>
      <c r="R127" s="0" t="n">
        <v>391.9</v>
      </c>
      <c r="S127" s="0" t="n">
        <v>395.1</v>
      </c>
      <c r="T127" s="0" t="n">
        <v>380.6</v>
      </c>
      <c r="U127" s="0" t="n">
        <v>391.2</v>
      </c>
      <c r="V127" s="0" t="n">
        <v>372.1</v>
      </c>
      <c r="W127" s="0" t="n">
        <v>380.3</v>
      </c>
      <c r="X127" s="6" t="n">
        <f aca="false">AVERAGE(D127:W127)</f>
        <v>386.74</v>
      </c>
      <c r="Y127" s="7" t="n">
        <f aca="false">_xlfn.STDEV.S(D127:W127)</f>
        <v>6.19204923141043</v>
      </c>
      <c r="Z127" s="7" t="n">
        <f aca="false">Y127/X127</f>
        <v>0.0160108838791189</v>
      </c>
    </row>
    <row r="128" customFormat="false" ht="16.75" hidden="false" customHeight="false" outlineLevel="0" collapsed="false">
      <c r="A128" s="10"/>
      <c r="B128" s="4"/>
      <c r="C128" s="5" t="n">
        <v>4</v>
      </c>
      <c r="D128" s="0" t="n">
        <v>403.6</v>
      </c>
      <c r="E128" s="0" t="n">
        <v>401.2</v>
      </c>
      <c r="F128" s="0" t="n">
        <v>384.9</v>
      </c>
      <c r="G128" s="0" t="n">
        <v>395.7</v>
      </c>
      <c r="H128" s="0" t="n">
        <v>393.3</v>
      </c>
      <c r="I128" s="0" t="n">
        <v>394.3</v>
      </c>
      <c r="J128" s="0" t="n">
        <v>395.9</v>
      </c>
      <c r="K128" s="0" t="n">
        <v>401.9</v>
      </c>
      <c r="L128" s="0" t="n">
        <v>392.4</v>
      </c>
      <c r="M128" s="0" t="n">
        <v>401.4</v>
      </c>
      <c r="N128" s="0" t="n">
        <v>397.6</v>
      </c>
      <c r="O128" s="0" t="n">
        <v>394.3</v>
      </c>
      <c r="P128" s="0" t="n">
        <v>392.3</v>
      </c>
      <c r="Q128" s="0" t="n">
        <v>391.1</v>
      </c>
      <c r="R128" s="0" t="n">
        <v>387.4</v>
      </c>
      <c r="S128" s="0" t="n">
        <v>392.2</v>
      </c>
      <c r="T128" s="0" t="n">
        <v>389.3</v>
      </c>
      <c r="U128" s="0" t="n">
        <v>390.2</v>
      </c>
      <c r="V128" s="0" t="n">
        <v>385.8</v>
      </c>
      <c r="W128" s="0" t="n">
        <v>391.7</v>
      </c>
      <c r="X128" s="6" t="n">
        <f aca="false">AVERAGE(D128:W128)</f>
        <v>393.825</v>
      </c>
      <c r="Y128" s="7" t="n">
        <f aca="false">_xlfn.STDEV.S(D128:W128)</f>
        <v>5.29755405327482</v>
      </c>
      <c r="Z128" s="7" t="n">
        <f aca="false">Y128/X128</f>
        <v>0.0134515433333963</v>
      </c>
    </row>
    <row r="129" customFormat="false" ht="16.75" hidden="false" customHeight="false" outlineLevel="0" collapsed="false">
      <c r="A129" s="10"/>
      <c r="B129" s="4" t="n">
        <v>38</v>
      </c>
      <c r="C129" s="5" t="n">
        <v>0</v>
      </c>
      <c r="D129" s="0" t="n">
        <v>403.7</v>
      </c>
      <c r="E129" s="0" t="n">
        <v>411.3</v>
      </c>
      <c r="F129" s="0" t="n">
        <v>408.2</v>
      </c>
      <c r="G129" s="0" t="n">
        <v>395.2</v>
      </c>
      <c r="H129" s="0" t="n">
        <v>399</v>
      </c>
      <c r="I129" s="0" t="n">
        <v>395.6</v>
      </c>
      <c r="J129" s="0" t="n">
        <v>400.8</v>
      </c>
      <c r="K129" s="0" t="n">
        <v>402.9</v>
      </c>
      <c r="L129" s="0" t="n">
        <v>395.6</v>
      </c>
      <c r="M129" s="0" t="n">
        <v>394.8</v>
      </c>
      <c r="N129" s="0" t="n">
        <v>397.8</v>
      </c>
      <c r="O129" s="0" t="n">
        <v>401.4</v>
      </c>
      <c r="P129" s="0" t="n">
        <v>404.5</v>
      </c>
      <c r="Q129" s="0" t="n">
        <v>409.1</v>
      </c>
      <c r="R129" s="0" t="n">
        <v>407.4</v>
      </c>
      <c r="S129" s="0" t="n">
        <v>398.8</v>
      </c>
      <c r="T129" s="0" t="n">
        <v>404.4</v>
      </c>
      <c r="U129" s="0" t="n">
        <v>394.1</v>
      </c>
      <c r="V129" s="0" t="n">
        <v>410.4</v>
      </c>
      <c r="W129" s="0" t="n">
        <v>396.3</v>
      </c>
      <c r="X129" s="6" t="n">
        <f aca="false">AVERAGE(D129:W129)</f>
        <v>401.565</v>
      </c>
      <c r="Y129" s="7" t="n">
        <f aca="false">_xlfn.STDEV.S(D129:W129)</f>
        <v>5.62216244218501</v>
      </c>
      <c r="Z129" s="7" t="n">
        <f aca="false">Y129/X129</f>
        <v>0.0140006286458855</v>
      </c>
    </row>
    <row r="130" customFormat="false" ht="16.75" hidden="false" customHeight="false" outlineLevel="0" collapsed="false">
      <c r="A130" s="10"/>
      <c r="B130" s="4"/>
      <c r="C130" s="5" t="n">
        <v>2</v>
      </c>
      <c r="D130" s="0" t="n">
        <v>392</v>
      </c>
      <c r="E130" s="0" t="n">
        <v>392.8</v>
      </c>
      <c r="F130" s="0" t="n">
        <v>402.9</v>
      </c>
      <c r="G130" s="0" t="n">
        <v>402.9</v>
      </c>
      <c r="H130" s="0" t="n">
        <v>397.3</v>
      </c>
      <c r="I130" s="0" t="n">
        <v>394.6</v>
      </c>
      <c r="J130" s="0" t="n">
        <v>388.8</v>
      </c>
      <c r="K130" s="0" t="n">
        <v>404.9</v>
      </c>
      <c r="L130" s="0" t="n">
        <v>406.9</v>
      </c>
      <c r="M130" s="0" t="n">
        <v>397.3</v>
      </c>
      <c r="N130" s="0" t="n">
        <v>397.9</v>
      </c>
      <c r="O130" s="0" t="n">
        <v>396.3</v>
      </c>
      <c r="P130" s="0" t="n">
        <v>392.6</v>
      </c>
      <c r="Q130" s="0" t="n">
        <v>399.1</v>
      </c>
      <c r="R130" s="0" t="n">
        <v>398.3</v>
      </c>
      <c r="S130" s="0" t="n">
        <v>403.8</v>
      </c>
      <c r="T130" s="0" t="n">
        <v>396.3</v>
      </c>
      <c r="U130" s="0" t="n">
        <v>400.6</v>
      </c>
      <c r="V130" s="0" t="n">
        <v>400</v>
      </c>
      <c r="W130" s="0" t="n">
        <v>412</v>
      </c>
      <c r="X130" s="6" t="n">
        <f aca="false">AVERAGE(D130:W130)</f>
        <v>398.865</v>
      </c>
      <c r="Y130" s="7" t="n">
        <f aca="false">_xlfn.STDEV.S(D130:W130)</f>
        <v>5.60425355375154</v>
      </c>
      <c r="Z130" s="7" t="n">
        <f aca="false">Y130/X130</f>
        <v>0.0140505021843269</v>
      </c>
    </row>
    <row r="131" customFormat="false" ht="16.75" hidden="false" customHeight="false" outlineLevel="0" collapsed="false">
      <c r="A131" s="10"/>
      <c r="B131" s="4"/>
      <c r="C131" s="5" t="n">
        <v>4</v>
      </c>
      <c r="D131" s="0" t="n">
        <v>392.9</v>
      </c>
      <c r="E131" s="0" t="n">
        <v>390.4</v>
      </c>
      <c r="F131" s="0" t="n">
        <v>385.6</v>
      </c>
      <c r="G131" s="0" t="n">
        <v>407.1</v>
      </c>
      <c r="H131" s="0" t="n">
        <v>398.1</v>
      </c>
      <c r="I131" s="0" t="n">
        <v>397.6</v>
      </c>
      <c r="J131" s="0" t="n">
        <v>412.5</v>
      </c>
      <c r="K131" s="0" t="n">
        <v>394.3</v>
      </c>
      <c r="L131" s="0" t="n">
        <v>404.9</v>
      </c>
      <c r="M131" s="0" t="n">
        <v>410.4</v>
      </c>
      <c r="N131" s="0" t="n">
        <v>398</v>
      </c>
      <c r="O131" s="0" t="n">
        <v>397.1</v>
      </c>
      <c r="P131" s="0" t="n">
        <v>396.4</v>
      </c>
      <c r="Q131" s="0" t="n">
        <v>404.6</v>
      </c>
      <c r="R131" s="0" t="n">
        <v>399</v>
      </c>
      <c r="S131" s="0" t="n">
        <v>394.4</v>
      </c>
      <c r="T131" s="0" t="n">
        <v>395.3</v>
      </c>
      <c r="U131" s="0" t="n">
        <v>400.4</v>
      </c>
      <c r="V131" s="0" t="n">
        <v>393.9</v>
      </c>
      <c r="W131" s="0" t="n">
        <v>388.9</v>
      </c>
      <c r="X131" s="6" t="n">
        <f aca="false">AVERAGE(D131:W131)</f>
        <v>398.09</v>
      </c>
      <c r="Y131" s="7" t="n">
        <f aca="false">_xlfn.STDEV.S(D131:W131)</f>
        <v>6.95556573808645</v>
      </c>
      <c r="Z131" s="7" t="n">
        <f aca="false">Y131/X131</f>
        <v>0.017472344791596</v>
      </c>
    </row>
    <row r="132" customFormat="false" ht="16.75" hidden="false" customHeight="false" outlineLevel="0" collapsed="false">
      <c r="A132" s="10"/>
      <c r="B132" s="4" t="n">
        <v>50</v>
      </c>
      <c r="C132" s="5" t="n">
        <v>0</v>
      </c>
      <c r="D132" s="0" t="n">
        <v>397.9</v>
      </c>
      <c r="E132" s="0" t="n">
        <v>394.4</v>
      </c>
      <c r="F132" s="0" t="n">
        <v>396.5</v>
      </c>
      <c r="G132" s="0" t="n">
        <v>401.3</v>
      </c>
      <c r="H132" s="0" t="n">
        <v>395.1</v>
      </c>
      <c r="I132" s="0" t="n">
        <v>401.3</v>
      </c>
      <c r="J132" s="0" t="n">
        <v>399.5</v>
      </c>
      <c r="K132" s="0" t="n">
        <v>398.9</v>
      </c>
      <c r="L132" s="0" t="n">
        <v>399.7</v>
      </c>
      <c r="M132" s="0" t="n">
        <v>400.2</v>
      </c>
      <c r="N132" s="0" t="n">
        <v>395.9</v>
      </c>
      <c r="O132" s="0" t="n">
        <v>400.5</v>
      </c>
      <c r="P132" s="0" t="n">
        <v>397.9</v>
      </c>
      <c r="Q132" s="0" t="n">
        <v>395.8</v>
      </c>
      <c r="R132" s="0" t="n">
        <v>396.8</v>
      </c>
      <c r="S132" s="0" t="n">
        <v>400.9</v>
      </c>
      <c r="T132" s="0" t="n">
        <v>401.5</v>
      </c>
      <c r="U132" s="0" t="n">
        <v>398.1</v>
      </c>
      <c r="V132" s="0" t="n">
        <v>400.5</v>
      </c>
      <c r="W132" s="0" t="n">
        <v>394.5</v>
      </c>
      <c r="X132" s="6" t="n">
        <f aca="false">AVERAGE(D132:W132)</f>
        <v>398.36</v>
      </c>
      <c r="Y132" s="7" t="n">
        <f aca="false">_xlfn.STDEV.S(D132:W132)</f>
        <v>2.40315581990366</v>
      </c>
      <c r="Z132" s="7" t="n">
        <f aca="false">Y132/X132</f>
        <v>0.00603262330531093</v>
      </c>
    </row>
    <row r="133" customFormat="false" ht="16.75" hidden="false" customHeight="false" outlineLevel="0" collapsed="false">
      <c r="A133" s="10"/>
      <c r="B133" s="4"/>
      <c r="C133" s="5" t="n">
        <v>2</v>
      </c>
      <c r="D133" s="0" t="n">
        <v>404.9</v>
      </c>
      <c r="E133" s="0" t="n">
        <v>404.1</v>
      </c>
      <c r="F133" s="0" t="n">
        <v>392.1</v>
      </c>
      <c r="G133" s="0" t="n">
        <v>396.5</v>
      </c>
      <c r="H133" s="0" t="n">
        <v>405.8</v>
      </c>
      <c r="I133" s="0" t="n">
        <v>407.6</v>
      </c>
      <c r="J133" s="0" t="n">
        <v>396</v>
      </c>
      <c r="K133" s="0" t="n">
        <v>405.3</v>
      </c>
      <c r="L133" s="0" t="n">
        <v>397.7</v>
      </c>
      <c r="M133" s="0" t="n">
        <v>392.8</v>
      </c>
      <c r="N133" s="0" t="n">
        <v>412.4</v>
      </c>
      <c r="O133" s="0" t="n">
        <v>395.7</v>
      </c>
      <c r="P133" s="0" t="n">
        <v>387.4</v>
      </c>
      <c r="Q133" s="0" t="n">
        <v>413</v>
      </c>
      <c r="R133" s="0" t="n">
        <v>400.1</v>
      </c>
      <c r="S133" s="0" t="n">
        <v>398.5</v>
      </c>
      <c r="T133" s="0" t="n">
        <v>402</v>
      </c>
      <c r="U133" s="0" t="n">
        <v>392.8</v>
      </c>
      <c r="V133" s="0" t="n">
        <v>403.3</v>
      </c>
      <c r="W133" s="0" t="n">
        <v>398.8</v>
      </c>
      <c r="X133" s="6" t="n">
        <f aca="false">AVERAGE(D133:W133)</f>
        <v>400.34</v>
      </c>
      <c r="Y133" s="7" t="n">
        <f aca="false">_xlfn.STDEV.S(D133:W133)</f>
        <v>6.79096923552851</v>
      </c>
      <c r="Z133" s="7" t="n">
        <f aca="false">Y133/X133</f>
        <v>0.0169630045349666</v>
      </c>
    </row>
    <row r="134" customFormat="false" ht="16.75" hidden="false" customHeight="false" outlineLevel="0" collapsed="false">
      <c r="A134" s="10"/>
      <c r="B134" s="4"/>
      <c r="C134" s="5" t="n">
        <v>4</v>
      </c>
      <c r="D134" s="0" t="n">
        <v>409.2</v>
      </c>
      <c r="E134" s="0" t="n">
        <v>401.4</v>
      </c>
      <c r="F134" s="0" t="n">
        <v>400.4</v>
      </c>
      <c r="G134" s="0" t="n">
        <v>390.5</v>
      </c>
      <c r="H134" s="0" t="n">
        <v>407.4</v>
      </c>
      <c r="I134" s="0" t="n">
        <v>395.4</v>
      </c>
      <c r="J134" s="0" t="n">
        <v>391</v>
      </c>
      <c r="K134" s="0" t="n">
        <v>406.3</v>
      </c>
      <c r="L134" s="0" t="n">
        <v>393.2</v>
      </c>
      <c r="M134" s="0" t="n">
        <v>399.1</v>
      </c>
      <c r="N134" s="0" t="n">
        <v>396.5</v>
      </c>
      <c r="O134" s="0" t="n">
        <v>392.7</v>
      </c>
      <c r="P134" s="0" t="n">
        <v>395.2</v>
      </c>
      <c r="Q134" s="0" t="n">
        <v>398.7</v>
      </c>
      <c r="R134" s="0" t="n">
        <v>395.8</v>
      </c>
      <c r="S134" s="0" t="n">
        <v>395.3</v>
      </c>
      <c r="T134" s="0" t="n">
        <v>390.1</v>
      </c>
      <c r="U134" s="0" t="n">
        <v>391.9</v>
      </c>
      <c r="V134" s="0" t="n">
        <v>406.6</v>
      </c>
      <c r="W134" s="0" t="n">
        <v>403.6</v>
      </c>
      <c r="X134" s="6" t="n">
        <f aca="false">AVERAGE(D134:W134)</f>
        <v>398.015</v>
      </c>
      <c r="Y134" s="7" t="n">
        <f aca="false">_xlfn.STDEV.S(D134:W134)</f>
        <v>6.03500970216811</v>
      </c>
      <c r="Z134" s="7" t="n">
        <f aca="false">Y134/X134</f>
        <v>0.0151627694990593</v>
      </c>
    </row>
    <row r="135" customFormat="false" ht="16.75" hidden="false" customHeight="false" outlineLevel="0" collapsed="false">
      <c r="A135" s="10"/>
      <c r="B135" s="4" t="n">
        <v>75</v>
      </c>
      <c r="C135" s="5" t="n">
        <v>0</v>
      </c>
      <c r="D135" s="0" t="n">
        <v>399.1</v>
      </c>
      <c r="E135" s="0" t="n">
        <v>403.4</v>
      </c>
      <c r="F135" s="0" t="n">
        <v>414.1</v>
      </c>
      <c r="G135" s="0" t="n">
        <v>403.7</v>
      </c>
      <c r="H135" s="0" t="n">
        <v>401.6</v>
      </c>
      <c r="I135" s="0" t="n">
        <v>402</v>
      </c>
      <c r="J135" s="0" t="n">
        <v>409.3</v>
      </c>
      <c r="K135" s="0" t="n">
        <v>404.7</v>
      </c>
      <c r="L135" s="0" t="n">
        <v>408</v>
      </c>
      <c r="M135" s="0" t="n">
        <v>418.8</v>
      </c>
      <c r="N135" s="0" t="n">
        <v>413.7</v>
      </c>
      <c r="O135" s="0" t="n">
        <v>402</v>
      </c>
      <c r="P135" s="0" t="n">
        <v>402.4</v>
      </c>
      <c r="Q135" s="0" t="n">
        <v>408.2</v>
      </c>
      <c r="R135" s="0" t="n">
        <v>407.5</v>
      </c>
      <c r="S135" s="0" t="n">
        <v>405.9</v>
      </c>
      <c r="T135" s="0" t="n">
        <v>398.3</v>
      </c>
      <c r="U135" s="0" t="n">
        <v>407.8</v>
      </c>
      <c r="V135" s="0" t="n">
        <v>401.4</v>
      </c>
      <c r="W135" s="0" t="n">
        <v>400.1</v>
      </c>
      <c r="X135" s="6" t="n">
        <f aca="false">AVERAGE(D135:W135)</f>
        <v>405.6</v>
      </c>
      <c r="Y135" s="7" t="n">
        <f aca="false">_xlfn.STDEV.S(D135:W135)</f>
        <v>5.3885844249917</v>
      </c>
      <c r="Z135" s="7" t="n">
        <f aca="false">Y135/X135</f>
        <v>0.013285464558658</v>
      </c>
    </row>
    <row r="136" customFormat="false" ht="16.75" hidden="false" customHeight="false" outlineLevel="0" collapsed="false">
      <c r="A136" s="10"/>
      <c r="B136" s="4"/>
      <c r="C136" s="5" t="n">
        <v>2</v>
      </c>
      <c r="D136" s="0" t="n">
        <v>400.2</v>
      </c>
      <c r="E136" s="0" t="n">
        <v>399.3</v>
      </c>
      <c r="F136" s="0" t="n">
        <v>399.7</v>
      </c>
      <c r="G136" s="0" t="n">
        <v>404.8</v>
      </c>
      <c r="H136" s="0" t="n">
        <v>408.5</v>
      </c>
      <c r="I136" s="0" t="n">
        <v>400.6</v>
      </c>
      <c r="J136" s="0" t="n">
        <v>403.1</v>
      </c>
      <c r="K136" s="0" t="n">
        <v>392.9</v>
      </c>
      <c r="L136" s="0" t="n">
        <v>387.3</v>
      </c>
      <c r="M136" s="0" t="n">
        <v>399.2</v>
      </c>
      <c r="N136" s="0" t="n">
        <v>402.3</v>
      </c>
      <c r="O136" s="0" t="n">
        <v>391</v>
      </c>
      <c r="P136" s="0" t="n">
        <v>390.4</v>
      </c>
      <c r="Q136" s="0" t="n">
        <v>394.5</v>
      </c>
      <c r="R136" s="0" t="n">
        <v>404.7</v>
      </c>
      <c r="S136" s="0" t="n">
        <v>402.8</v>
      </c>
      <c r="T136" s="0" t="n">
        <v>398.8</v>
      </c>
      <c r="U136" s="0" t="n">
        <v>398.2</v>
      </c>
      <c r="V136" s="0" t="n">
        <v>392.1</v>
      </c>
      <c r="W136" s="0" t="n">
        <v>402</v>
      </c>
      <c r="X136" s="6" t="n">
        <f aca="false">AVERAGE(D136:W136)</f>
        <v>398.62</v>
      </c>
      <c r="Y136" s="7" t="n">
        <f aca="false">_xlfn.STDEV.S(D136:W136)</f>
        <v>5.57178984755018</v>
      </c>
      <c r="Z136" s="7" t="n">
        <f aca="false">Y136/X136</f>
        <v>0.0139776976758571</v>
      </c>
    </row>
    <row r="137" customFormat="false" ht="16.75" hidden="false" customHeight="false" outlineLevel="0" collapsed="false">
      <c r="A137" s="10"/>
      <c r="B137" s="4"/>
      <c r="C137" s="5" t="n">
        <v>4</v>
      </c>
      <c r="D137" s="0" t="n">
        <v>394.3</v>
      </c>
      <c r="E137" s="0" t="n">
        <v>396.5</v>
      </c>
      <c r="F137" s="0" t="n">
        <v>395.3</v>
      </c>
      <c r="G137" s="0" t="n">
        <v>407</v>
      </c>
      <c r="H137" s="0" t="n">
        <v>393.7</v>
      </c>
      <c r="I137" s="0" t="n">
        <v>393.7</v>
      </c>
      <c r="J137" s="0" t="n">
        <v>390.9</v>
      </c>
      <c r="K137" s="0" t="n">
        <v>392.5</v>
      </c>
      <c r="L137" s="0" t="n">
        <v>396.6</v>
      </c>
      <c r="M137" s="0" t="n">
        <v>398.2</v>
      </c>
      <c r="N137" s="0" t="n">
        <v>408.6</v>
      </c>
      <c r="O137" s="0" t="n">
        <v>402.1</v>
      </c>
      <c r="P137" s="0" t="n">
        <v>397.2</v>
      </c>
      <c r="Q137" s="0" t="n">
        <v>398.5</v>
      </c>
      <c r="R137" s="0" t="n">
        <v>394.9</v>
      </c>
      <c r="S137" s="0" t="n">
        <v>393.3</v>
      </c>
      <c r="T137" s="0" t="n">
        <v>396.9</v>
      </c>
      <c r="U137" s="0" t="n">
        <v>394.3</v>
      </c>
      <c r="V137" s="0" t="n">
        <v>394.7</v>
      </c>
      <c r="W137" s="0" t="n">
        <v>391.9</v>
      </c>
      <c r="X137" s="6" t="n">
        <f aca="false">AVERAGE(D137:W137)</f>
        <v>396.555</v>
      </c>
      <c r="Y137" s="7" t="n">
        <f aca="false">_xlfn.STDEV.S(D137:W137)</f>
        <v>4.62754624077668</v>
      </c>
      <c r="Z137" s="7" t="n">
        <f aca="false">Y137/X137</f>
        <v>0.0116693680341357</v>
      </c>
    </row>
    <row r="138" customFormat="false" ht="16.75" hidden="false" customHeight="false" outlineLevel="0" collapsed="false">
      <c r="A138" s="10"/>
      <c r="B138" s="4" t="n">
        <v>100</v>
      </c>
      <c r="C138" s="5" t="n">
        <v>0</v>
      </c>
      <c r="D138" s="0" t="n">
        <v>410.2</v>
      </c>
      <c r="E138" s="0" t="n">
        <v>417.8</v>
      </c>
      <c r="F138" s="0" t="n">
        <v>420.3</v>
      </c>
      <c r="G138" s="0" t="n">
        <v>397.9</v>
      </c>
      <c r="H138" s="0" t="n">
        <v>413.6</v>
      </c>
      <c r="I138" s="0" t="n">
        <v>414.8</v>
      </c>
      <c r="J138" s="0" t="n">
        <v>408.9</v>
      </c>
      <c r="K138" s="0" t="n">
        <v>419.8</v>
      </c>
      <c r="L138" s="0" t="n">
        <v>411.5</v>
      </c>
      <c r="M138" s="0" t="n">
        <v>429.1</v>
      </c>
      <c r="N138" s="0" t="n">
        <v>415.7</v>
      </c>
      <c r="O138" s="0" t="n">
        <v>420.8</v>
      </c>
      <c r="P138" s="0" t="n">
        <v>409.3</v>
      </c>
      <c r="Q138" s="0" t="n">
        <v>411.9</v>
      </c>
      <c r="R138" s="0" t="n">
        <v>412.2</v>
      </c>
      <c r="S138" s="0" t="n">
        <v>408.6</v>
      </c>
      <c r="T138" s="0" t="n">
        <v>417.4</v>
      </c>
      <c r="U138" s="0" t="n">
        <v>409.6</v>
      </c>
      <c r="V138" s="0" t="n">
        <v>404.7</v>
      </c>
      <c r="W138" s="0" t="n">
        <v>409.5</v>
      </c>
      <c r="X138" s="6" t="n">
        <f aca="false">AVERAGE(D138:W138)</f>
        <v>413.18</v>
      </c>
      <c r="Y138" s="7" t="n">
        <f aca="false">_xlfn.STDEV.S(D138:W138)</f>
        <v>6.70715250585837</v>
      </c>
      <c r="Z138" s="7" t="n">
        <f aca="false">Y138/X138</f>
        <v>0.0162330037897729</v>
      </c>
    </row>
    <row r="139" customFormat="false" ht="16.75" hidden="false" customHeight="false" outlineLevel="0" collapsed="false">
      <c r="A139" s="10"/>
      <c r="B139" s="4"/>
      <c r="C139" s="5" t="n">
        <v>2</v>
      </c>
      <c r="D139" s="0" t="n">
        <v>409.2</v>
      </c>
      <c r="E139" s="0" t="n">
        <v>408.5</v>
      </c>
      <c r="F139" s="0" t="n">
        <v>414.9</v>
      </c>
      <c r="G139" s="0" t="n">
        <v>406.7</v>
      </c>
      <c r="H139" s="0" t="n">
        <v>407.9</v>
      </c>
      <c r="I139" s="0" t="n">
        <v>406.9</v>
      </c>
      <c r="J139" s="0" t="n">
        <v>418.2</v>
      </c>
      <c r="K139" s="0" t="n">
        <v>419.2</v>
      </c>
      <c r="L139" s="0" t="n">
        <v>396.9</v>
      </c>
      <c r="M139" s="0" t="n">
        <v>401.4</v>
      </c>
      <c r="N139" s="0" t="n">
        <v>403</v>
      </c>
      <c r="O139" s="0" t="n">
        <v>419</v>
      </c>
      <c r="P139" s="0" t="n">
        <v>405.4</v>
      </c>
      <c r="Q139" s="0" t="n">
        <v>399.8</v>
      </c>
      <c r="R139" s="0" t="n">
        <v>394.8</v>
      </c>
      <c r="S139" s="0" t="n">
        <v>399.7</v>
      </c>
      <c r="T139" s="0" t="n">
        <v>410.1</v>
      </c>
      <c r="U139" s="0" t="n">
        <v>400.8</v>
      </c>
      <c r="V139" s="0" t="n">
        <v>402.3</v>
      </c>
      <c r="W139" s="0" t="n">
        <v>411.8</v>
      </c>
      <c r="X139" s="6" t="n">
        <f aca="false">AVERAGE(D139:W139)</f>
        <v>406.825</v>
      </c>
      <c r="Y139" s="7" t="n">
        <f aca="false">_xlfn.STDEV.S(D139:W139)</f>
        <v>7.20802732339</v>
      </c>
      <c r="Z139" s="7" t="n">
        <f aca="false">Y139/X139</f>
        <v>0.0177177590447736</v>
      </c>
    </row>
    <row r="140" customFormat="false" ht="16.75" hidden="false" customHeight="false" outlineLevel="0" collapsed="false">
      <c r="A140" s="10"/>
      <c r="B140" s="4"/>
      <c r="C140" s="5" t="n">
        <v>4</v>
      </c>
      <c r="D140" s="0" t="n">
        <v>400.5</v>
      </c>
      <c r="E140" s="0" t="n">
        <v>414</v>
      </c>
      <c r="F140" s="0" t="n">
        <v>415</v>
      </c>
      <c r="G140" s="0" t="n">
        <v>408.2</v>
      </c>
      <c r="H140" s="0" t="n">
        <v>407.6</v>
      </c>
      <c r="I140" s="0" t="n">
        <v>418.8</v>
      </c>
      <c r="J140" s="0" t="n">
        <v>401.7</v>
      </c>
      <c r="K140" s="0" t="n">
        <v>406.9</v>
      </c>
      <c r="L140" s="0" t="n">
        <v>416.1</v>
      </c>
      <c r="M140" s="0" t="n">
        <v>406.6</v>
      </c>
      <c r="N140" s="0" t="n">
        <v>412.7</v>
      </c>
      <c r="O140" s="0" t="n">
        <v>413.9</v>
      </c>
      <c r="P140" s="0" t="n">
        <v>411.5</v>
      </c>
      <c r="Q140" s="0" t="n">
        <v>401.5</v>
      </c>
      <c r="R140" s="0" t="n">
        <v>415.9</v>
      </c>
      <c r="S140" s="0" t="n">
        <v>411.4</v>
      </c>
      <c r="T140" s="0" t="n">
        <v>399.8</v>
      </c>
      <c r="U140" s="0" t="n">
        <v>406.4</v>
      </c>
      <c r="V140" s="0" t="n">
        <v>410.4</v>
      </c>
      <c r="W140" s="0" t="n">
        <v>414.6</v>
      </c>
      <c r="X140" s="6" t="n">
        <f aca="false">AVERAGE(D140:W140)</f>
        <v>409.675</v>
      </c>
      <c r="Y140" s="7" t="n">
        <f aca="false">_xlfn.STDEV.S(D140:W140)</f>
        <v>5.68903608522106</v>
      </c>
      <c r="Z140" s="7" t="n">
        <f aca="false">Y140/X140</f>
        <v>0.01388670552321</v>
      </c>
    </row>
    <row r="141" customFormat="false" ht="16.75" hidden="false" customHeight="false" outlineLevel="0" collapsed="false">
      <c r="A141" s="10"/>
      <c r="B141" s="4" t="n">
        <v>150</v>
      </c>
      <c r="C141" s="5" t="n">
        <v>0</v>
      </c>
      <c r="D141" s="0" t="n">
        <v>434.3</v>
      </c>
      <c r="E141" s="0" t="n">
        <v>457.6</v>
      </c>
      <c r="F141" s="0" t="n">
        <v>439.9</v>
      </c>
      <c r="G141" s="0" t="n">
        <v>438</v>
      </c>
      <c r="H141" s="0" t="n">
        <v>437.7</v>
      </c>
      <c r="I141" s="0" t="n">
        <v>445.1</v>
      </c>
      <c r="J141" s="0" t="n">
        <v>449.2</v>
      </c>
      <c r="K141" s="0" t="n">
        <v>452.1</v>
      </c>
      <c r="L141" s="0" t="n">
        <v>447.4</v>
      </c>
      <c r="M141" s="0" t="n">
        <v>454.9</v>
      </c>
      <c r="N141" s="0" t="n">
        <v>452</v>
      </c>
      <c r="O141" s="0" t="n">
        <v>448.3</v>
      </c>
      <c r="P141" s="0" t="n">
        <v>460.2</v>
      </c>
      <c r="Q141" s="0" t="n">
        <v>441.9</v>
      </c>
      <c r="R141" s="0" t="n">
        <v>444.4</v>
      </c>
      <c r="S141" s="0" t="n">
        <v>452.2</v>
      </c>
      <c r="T141" s="0" t="n">
        <v>455.9</v>
      </c>
      <c r="U141" s="0" t="n">
        <v>440.5</v>
      </c>
      <c r="V141" s="0" t="n">
        <v>441.3</v>
      </c>
      <c r="W141" s="0" t="n">
        <v>468.2</v>
      </c>
      <c r="X141" s="6" t="n">
        <f aca="false">AVERAGE(D141:W141)</f>
        <v>448.055</v>
      </c>
      <c r="Y141" s="7" t="n">
        <f aca="false">_xlfn.STDEV.S(D141:W141)</f>
        <v>8.67679755379101</v>
      </c>
      <c r="Z141" s="7" t="n">
        <f aca="false">Y141/X141</f>
        <v>0.0193654742247961</v>
      </c>
    </row>
    <row r="142" customFormat="false" ht="16.75" hidden="false" customHeight="false" outlineLevel="0" collapsed="false">
      <c r="A142" s="10"/>
      <c r="B142" s="4"/>
      <c r="C142" s="5" t="n">
        <v>2</v>
      </c>
      <c r="D142" s="0" t="n">
        <v>441.1</v>
      </c>
      <c r="E142" s="0" t="n">
        <v>439.9</v>
      </c>
      <c r="F142" s="0" t="n">
        <v>447.1</v>
      </c>
      <c r="G142" s="0" t="n">
        <v>443.7</v>
      </c>
      <c r="H142" s="0" t="n">
        <v>448.1</v>
      </c>
      <c r="I142" s="0" t="n">
        <v>441.6</v>
      </c>
      <c r="J142" s="0" t="n">
        <v>449.3</v>
      </c>
      <c r="K142" s="0" t="n">
        <v>444.5</v>
      </c>
      <c r="L142" s="0" t="n">
        <v>441.4</v>
      </c>
      <c r="M142" s="0" t="n">
        <v>435.4</v>
      </c>
      <c r="N142" s="0" t="n">
        <v>443.4</v>
      </c>
      <c r="O142" s="0" t="n">
        <v>447.7</v>
      </c>
      <c r="P142" s="0" t="n">
        <v>449.8</v>
      </c>
      <c r="Q142" s="0" t="n">
        <v>437.2</v>
      </c>
      <c r="R142" s="0" t="n">
        <v>440.6</v>
      </c>
      <c r="S142" s="0" t="n">
        <v>444.4</v>
      </c>
      <c r="T142" s="0" t="n">
        <v>440.3</v>
      </c>
      <c r="U142" s="0" t="n">
        <v>436.6</v>
      </c>
      <c r="V142" s="0" t="n">
        <v>443.8</v>
      </c>
      <c r="W142" s="0" t="n">
        <v>434.6</v>
      </c>
      <c r="X142" s="6" t="n">
        <f aca="false">AVERAGE(D142:W142)</f>
        <v>442.525</v>
      </c>
      <c r="Y142" s="7" t="n">
        <f aca="false">_xlfn.STDEV.S(D142:W142)</f>
        <v>4.50460290907213</v>
      </c>
      <c r="Z142" s="7" t="n">
        <f aca="false">Y142/X142</f>
        <v>0.0101793184770852</v>
      </c>
    </row>
    <row r="143" customFormat="false" ht="16.75" hidden="false" customHeight="false" outlineLevel="0" collapsed="false">
      <c r="A143" s="10"/>
      <c r="B143" s="4"/>
      <c r="C143" s="5" t="n">
        <v>4</v>
      </c>
      <c r="D143" s="0" t="n">
        <v>450.8</v>
      </c>
      <c r="E143" s="0" t="n">
        <v>456.7</v>
      </c>
      <c r="F143" s="0" t="n">
        <v>446.5</v>
      </c>
      <c r="G143" s="0" t="n">
        <v>446.4</v>
      </c>
      <c r="H143" s="0" t="n">
        <v>448.8</v>
      </c>
      <c r="I143" s="0" t="n">
        <v>452</v>
      </c>
      <c r="J143" s="0" t="n">
        <v>445.2</v>
      </c>
      <c r="K143" s="0" t="n">
        <v>448.8</v>
      </c>
      <c r="L143" s="0" t="n">
        <v>445.7</v>
      </c>
      <c r="M143" s="0" t="n">
        <v>448.2</v>
      </c>
      <c r="N143" s="0" t="n">
        <v>449.7</v>
      </c>
      <c r="O143" s="0" t="n">
        <v>445.5</v>
      </c>
      <c r="P143" s="0" t="n">
        <v>443.5</v>
      </c>
      <c r="Q143" s="0" t="n">
        <v>446.5</v>
      </c>
      <c r="R143" s="0" t="n">
        <v>447.7</v>
      </c>
      <c r="S143" s="0" t="n">
        <v>450.9</v>
      </c>
      <c r="T143" s="0" t="n">
        <v>453.3</v>
      </c>
      <c r="U143" s="0" t="n">
        <v>448.9</v>
      </c>
      <c r="V143" s="0" t="n">
        <v>441.3</v>
      </c>
      <c r="W143" s="0" t="n">
        <v>445.1</v>
      </c>
      <c r="X143" s="6" t="n">
        <f aca="false">AVERAGE(D143:W143)</f>
        <v>448.075</v>
      </c>
      <c r="Y143" s="7" t="n">
        <f aca="false">_xlfn.STDEV.S(D143:W143)</f>
        <v>3.56161923553703</v>
      </c>
      <c r="Z143" s="7" t="n">
        <f aca="false">Y143/X143</f>
        <v>0.00794871223687335</v>
      </c>
    </row>
  </sheetData>
  <mergeCells count="54">
    <mergeCell ref="A1:C3"/>
    <mergeCell ref="D2:Z4"/>
    <mergeCell ref="A6:A23"/>
    <mergeCell ref="B6:B8"/>
    <mergeCell ref="B9:B11"/>
    <mergeCell ref="B12:B14"/>
    <mergeCell ref="B15:B17"/>
    <mergeCell ref="B18:B20"/>
    <mergeCell ref="B21:B23"/>
    <mergeCell ref="A25:C27"/>
    <mergeCell ref="D26:Z28"/>
    <mergeCell ref="A30:A47"/>
    <mergeCell ref="B30:B32"/>
    <mergeCell ref="B33:B35"/>
    <mergeCell ref="B36:B38"/>
    <mergeCell ref="B39:B41"/>
    <mergeCell ref="B42:B44"/>
    <mergeCell ref="B45:B47"/>
    <mergeCell ref="A49:C51"/>
    <mergeCell ref="D50:Z52"/>
    <mergeCell ref="A54:A71"/>
    <mergeCell ref="B54:B56"/>
    <mergeCell ref="B57:B59"/>
    <mergeCell ref="B60:B62"/>
    <mergeCell ref="B63:B65"/>
    <mergeCell ref="B66:B68"/>
    <mergeCell ref="B69:B71"/>
    <mergeCell ref="A73:C75"/>
    <mergeCell ref="D74:Z76"/>
    <mergeCell ref="A78:A95"/>
    <mergeCell ref="B78:B80"/>
    <mergeCell ref="B81:B83"/>
    <mergeCell ref="B84:B86"/>
    <mergeCell ref="B87:B89"/>
    <mergeCell ref="B90:B92"/>
    <mergeCell ref="B93:B95"/>
    <mergeCell ref="A97:C99"/>
    <mergeCell ref="D98:Z100"/>
    <mergeCell ref="A102:A119"/>
    <mergeCell ref="B102:B104"/>
    <mergeCell ref="B105:B107"/>
    <mergeCell ref="B108:B110"/>
    <mergeCell ref="B111:B113"/>
    <mergeCell ref="B114:B116"/>
    <mergeCell ref="B117:B119"/>
    <mergeCell ref="A121:C123"/>
    <mergeCell ref="D122:Z124"/>
    <mergeCell ref="A126:A143"/>
    <mergeCell ref="B126:B128"/>
    <mergeCell ref="B129:B131"/>
    <mergeCell ref="B132:B134"/>
    <mergeCell ref="B135:B137"/>
    <mergeCell ref="B138:B140"/>
    <mergeCell ref="B141:B14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31" activeCellId="0" sqref="AE3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40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A5" s="3" t="s">
        <v>2</v>
      </c>
      <c r="B5" s="3" t="s">
        <v>3</v>
      </c>
      <c r="C5" s="3" t="s">
        <v>41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A6" s="10" t="n">
        <v>30</v>
      </c>
      <c r="B6" s="4" t="n">
        <v>25</v>
      </c>
      <c r="C6" s="5" t="n">
        <v>0</v>
      </c>
      <c r="D6" s="0" t="n">
        <v>425.7</v>
      </c>
      <c r="E6" s="0" t="n">
        <v>415.1</v>
      </c>
      <c r="F6" s="0" t="n">
        <v>426.8</v>
      </c>
      <c r="G6" s="0" t="n">
        <v>404.1</v>
      </c>
      <c r="H6" s="0" t="n">
        <v>399</v>
      </c>
      <c r="I6" s="0" t="n">
        <v>426.4</v>
      </c>
      <c r="J6" s="0" t="n">
        <v>402.9</v>
      </c>
      <c r="K6" s="0" t="n">
        <v>399.8</v>
      </c>
      <c r="L6" s="0" t="n">
        <v>402.7</v>
      </c>
      <c r="M6" s="0" t="n">
        <v>402.6</v>
      </c>
      <c r="N6" s="0" t="n">
        <v>406.7</v>
      </c>
      <c r="O6" s="0" t="n">
        <v>402.2</v>
      </c>
      <c r="P6" s="0" t="n">
        <v>426</v>
      </c>
      <c r="Q6" s="0" t="n">
        <v>399.7</v>
      </c>
      <c r="R6" s="0" t="n">
        <v>438.2</v>
      </c>
      <c r="S6" s="0" t="n">
        <v>398.6</v>
      </c>
      <c r="T6" s="0" t="n">
        <v>404.7</v>
      </c>
      <c r="U6" s="0" t="n">
        <v>407.2</v>
      </c>
      <c r="V6" s="0" t="n">
        <v>396.6</v>
      </c>
      <c r="W6" s="0" t="n">
        <v>416</v>
      </c>
      <c r="X6" s="6" t="n">
        <f aca="false">AVERAGE(D6:W6)</f>
        <v>410.05</v>
      </c>
      <c r="Y6" s="7" t="n">
        <f aca="false">_xlfn.STDEV.S(D6:W6)</f>
        <v>12.2527547922906</v>
      </c>
      <c r="Z6" s="7" t="n">
        <f aca="false">Y6/X6</f>
        <v>0.0298811237465933</v>
      </c>
    </row>
    <row r="7" customFormat="false" ht="16.75" hidden="false" customHeight="false" outlineLevel="0" collapsed="false">
      <c r="A7" s="10"/>
      <c r="B7" s="4"/>
      <c r="C7" s="5" t="n">
        <v>2</v>
      </c>
      <c r="D7" s="0" t="n">
        <v>386.3</v>
      </c>
      <c r="E7" s="0" t="n">
        <v>395</v>
      </c>
      <c r="F7" s="0" t="n">
        <v>402.5</v>
      </c>
      <c r="G7" s="0" t="n">
        <v>413.8</v>
      </c>
      <c r="H7" s="0" t="n">
        <v>395.8</v>
      </c>
      <c r="I7" s="0" t="n">
        <v>402.9</v>
      </c>
      <c r="J7" s="0" t="n">
        <v>399.4</v>
      </c>
      <c r="K7" s="0" t="n">
        <v>397</v>
      </c>
      <c r="L7" s="0" t="n">
        <v>404</v>
      </c>
      <c r="M7" s="0" t="n">
        <v>392.7</v>
      </c>
      <c r="N7" s="0" t="n">
        <v>391</v>
      </c>
      <c r="O7" s="0" t="n">
        <v>400.1</v>
      </c>
      <c r="P7" s="0" t="n">
        <v>401.8</v>
      </c>
      <c r="Q7" s="0" t="n">
        <v>399.3</v>
      </c>
      <c r="R7" s="0" t="n">
        <v>393.3</v>
      </c>
      <c r="S7" s="0" t="n">
        <v>390.6</v>
      </c>
      <c r="T7" s="0" t="n">
        <v>393.3</v>
      </c>
      <c r="U7" s="0" t="n">
        <v>395.2</v>
      </c>
      <c r="V7" s="0" t="n">
        <v>397.2</v>
      </c>
      <c r="W7" s="0" t="n">
        <v>403.1</v>
      </c>
      <c r="X7" s="6" t="n">
        <f aca="false">AVERAGE(D7:W7)</f>
        <v>397.715</v>
      </c>
      <c r="Y7" s="7" t="n">
        <f aca="false">_xlfn.STDEV.S(D7:W7)</f>
        <v>6.12598219836924</v>
      </c>
      <c r="Z7" s="7" t="n">
        <f aca="false">Y7/X7</f>
        <v>0.0154029448181971</v>
      </c>
    </row>
    <row r="8" customFormat="false" ht="16.75" hidden="false" customHeight="false" outlineLevel="0" collapsed="false">
      <c r="A8" s="10"/>
      <c r="B8" s="4"/>
      <c r="C8" s="5" t="n">
        <v>4</v>
      </c>
      <c r="D8" s="0" t="n">
        <v>394.8</v>
      </c>
      <c r="E8" s="0" t="n">
        <v>396.7</v>
      </c>
      <c r="F8" s="0" t="n">
        <v>392.1</v>
      </c>
      <c r="G8" s="0" t="n">
        <v>386.5</v>
      </c>
      <c r="H8" s="0" t="n">
        <v>406.6</v>
      </c>
      <c r="I8" s="0" t="n">
        <v>399.6</v>
      </c>
      <c r="J8" s="0" t="n">
        <v>387.9</v>
      </c>
      <c r="K8" s="0" t="n">
        <v>400.2</v>
      </c>
      <c r="L8" s="0" t="n">
        <v>386.7</v>
      </c>
      <c r="M8" s="0" t="n">
        <v>402.2</v>
      </c>
      <c r="N8" s="0" t="n">
        <v>389.4</v>
      </c>
      <c r="O8" s="0" t="n">
        <v>393.5</v>
      </c>
      <c r="P8" s="0" t="n">
        <v>404.1</v>
      </c>
      <c r="Q8" s="0" t="n">
        <v>417.8</v>
      </c>
      <c r="R8" s="0" t="n">
        <v>386.6</v>
      </c>
      <c r="S8" s="0" t="n">
        <v>394.3</v>
      </c>
      <c r="T8" s="0" t="n">
        <v>381.3</v>
      </c>
      <c r="U8" s="0" t="n">
        <v>387.5</v>
      </c>
      <c r="V8" s="0" t="n">
        <v>387.6</v>
      </c>
      <c r="W8" s="0" t="n">
        <v>400.3</v>
      </c>
      <c r="X8" s="6" t="n">
        <f aca="false">AVERAGE(D8:W8)</f>
        <v>394.785</v>
      </c>
      <c r="Y8" s="7" t="n">
        <f aca="false">_xlfn.STDEV.S(D8:W8)</f>
        <v>8.7979229008</v>
      </c>
      <c r="Z8" s="7" t="n">
        <f aca="false">Y8/X8</f>
        <v>0.022285352535684</v>
      </c>
    </row>
    <row r="9" customFormat="false" ht="16.75" hidden="false" customHeight="false" outlineLevel="0" collapsed="false">
      <c r="A9" s="10"/>
      <c r="B9" s="4"/>
      <c r="C9" s="5" t="n">
        <v>6</v>
      </c>
      <c r="D9" s="0" t="n">
        <v>384.4</v>
      </c>
      <c r="E9" s="0" t="n">
        <v>386.4</v>
      </c>
      <c r="F9" s="0" t="n">
        <v>390.5</v>
      </c>
      <c r="G9" s="0" t="n">
        <v>382.3</v>
      </c>
      <c r="H9" s="0" t="n">
        <v>391.8</v>
      </c>
      <c r="I9" s="0" t="n">
        <v>399</v>
      </c>
      <c r="J9" s="0" t="n">
        <v>396.1</v>
      </c>
      <c r="K9" s="0" t="n">
        <v>381.2</v>
      </c>
      <c r="L9" s="0" t="n">
        <v>393.6</v>
      </c>
      <c r="M9" s="0" t="n">
        <v>388.3</v>
      </c>
      <c r="N9" s="0" t="n">
        <v>399.2</v>
      </c>
      <c r="O9" s="0" t="n">
        <v>390</v>
      </c>
      <c r="P9" s="0" t="n">
        <v>387.2</v>
      </c>
      <c r="Q9" s="0" t="n">
        <v>394.9</v>
      </c>
      <c r="R9" s="0" t="n">
        <v>396.3</v>
      </c>
      <c r="S9" s="0" t="n">
        <v>389.8</v>
      </c>
      <c r="T9" s="0" t="n">
        <v>386.8</v>
      </c>
      <c r="U9" s="0" t="n">
        <v>377.4</v>
      </c>
      <c r="V9" s="0" t="n">
        <v>392</v>
      </c>
      <c r="W9" s="0" t="n">
        <v>386.8</v>
      </c>
      <c r="X9" s="6" t="n">
        <f aca="false">AVERAGE(D9:W9)</f>
        <v>389.7</v>
      </c>
      <c r="Y9" s="7" t="n">
        <f aca="false">_xlfn.STDEV.S(D9:W9)</f>
        <v>5.87707410196605</v>
      </c>
      <c r="Z9" s="7" t="n">
        <f aca="false">Y9/X9</f>
        <v>0.0150810215600874</v>
      </c>
    </row>
    <row r="10" customFormat="false" ht="16.75" hidden="false" customHeight="false" outlineLevel="0" collapsed="false">
      <c r="A10" s="10"/>
      <c r="B10" s="4"/>
      <c r="C10" s="5" t="n">
        <v>8</v>
      </c>
      <c r="D10" s="0" t="n">
        <v>381.6</v>
      </c>
      <c r="E10" s="0" t="n">
        <v>381.6</v>
      </c>
      <c r="F10" s="0" t="n">
        <v>387.1</v>
      </c>
      <c r="G10" s="0" t="n">
        <v>389.3</v>
      </c>
      <c r="H10" s="0" t="n">
        <v>394.9</v>
      </c>
      <c r="I10" s="0" t="n">
        <v>391.4</v>
      </c>
      <c r="J10" s="0" t="n">
        <v>392.2</v>
      </c>
      <c r="K10" s="0" t="n">
        <v>396.5</v>
      </c>
      <c r="L10" s="0" t="n">
        <v>395</v>
      </c>
      <c r="M10" s="0" t="n">
        <v>380.2</v>
      </c>
      <c r="N10" s="0" t="n">
        <v>379.2</v>
      </c>
      <c r="O10" s="0" t="n">
        <v>389.9</v>
      </c>
      <c r="P10" s="0" t="n">
        <v>388.4</v>
      </c>
      <c r="Q10" s="0" t="n">
        <v>399.9</v>
      </c>
      <c r="R10" s="0" t="n">
        <v>392.2</v>
      </c>
      <c r="S10" s="0" t="n">
        <v>390.8</v>
      </c>
      <c r="T10" s="0" t="n">
        <v>385.3</v>
      </c>
      <c r="U10" s="0" t="n">
        <v>385.2</v>
      </c>
      <c r="V10" s="0" t="n">
        <v>383.6</v>
      </c>
      <c r="W10" s="0" t="n">
        <v>388.2</v>
      </c>
      <c r="X10" s="6" t="n">
        <f aca="false">AVERAGE(D10:W10)</f>
        <v>388.625</v>
      </c>
      <c r="Y10" s="7" t="n">
        <f aca="false">_xlfn.STDEV.S(D10:W10)</f>
        <v>5.70474179497796</v>
      </c>
      <c r="Z10" s="7" t="n">
        <f aca="false">Y10/X10</f>
        <v>0.0146792969957619</v>
      </c>
    </row>
    <row r="11" customFormat="false" ht="16.75" hidden="false" customHeight="false" outlineLevel="0" collapsed="false">
      <c r="A11" s="10"/>
      <c r="B11" s="4"/>
      <c r="C11" s="5" t="n">
        <v>10</v>
      </c>
      <c r="D11" s="0" t="n">
        <v>392.3</v>
      </c>
      <c r="E11" s="0" t="n">
        <v>389.7</v>
      </c>
      <c r="F11" s="0" t="n">
        <v>395.9</v>
      </c>
      <c r="G11" s="0" t="n">
        <v>400.2</v>
      </c>
      <c r="H11" s="0" t="n">
        <v>392.6</v>
      </c>
      <c r="I11" s="0" t="n">
        <v>386.1</v>
      </c>
      <c r="J11" s="0" t="n">
        <v>389.2</v>
      </c>
      <c r="K11" s="0" t="n">
        <v>383.7</v>
      </c>
      <c r="L11" s="0" t="n">
        <v>377.2</v>
      </c>
      <c r="M11" s="0" t="n">
        <v>393.8</v>
      </c>
      <c r="N11" s="0" t="n">
        <v>381</v>
      </c>
      <c r="O11" s="0" t="n">
        <v>379.5</v>
      </c>
      <c r="P11" s="0" t="n">
        <v>430.4</v>
      </c>
      <c r="Q11" s="0" t="n">
        <v>387.1</v>
      </c>
      <c r="R11" s="0" t="n">
        <v>382</v>
      </c>
      <c r="S11" s="0" t="n">
        <v>391.1</v>
      </c>
      <c r="T11" s="0" t="n">
        <v>384.1</v>
      </c>
      <c r="U11" s="0" t="n">
        <v>373.4</v>
      </c>
      <c r="V11" s="0" t="n">
        <v>392.8</v>
      </c>
      <c r="W11" s="0" t="n">
        <v>379.7</v>
      </c>
      <c r="X11" s="6" t="n">
        <f aca="false">AVERAGE(D11:W11)</f>
        <v>389.09</v>
      </c>
      <c r="Y11" s="7" t="n">
        <f aca="false">_xlfn.STDEV.S(D11:W11)</f>
        <v>11.8977618417123</v>
      </c>
      <c r="Z11" s="7" t="n">
        <f aca="false">Y11/X11</f>
        <v>0.0305784313184926</v>
      </c>
    </row>
    <row r="12" customFormat="false" ht="16.75" hidden="false" customHeight="false" outlineLevel="0" collapsed="false">
      <c r="A12" s="10"/>
      <c r="B12" s="4"/>
      <c r="C12" s="5" t="n">
        <v>12</v>
      </c>
      <c r="D12" s="0" t="n">
        <v>399.9</v>
      </c>
      <c r="E12" s="0" t="n">
        <v>391.6</v>
      </c>
      <c r="F12" s="0" t="n">
        <v>385.6</v>
      </c>
      <c r="G12" s="0" t="n">
        <v>377.8</v>
      </c>
      <c r="H12" s="0" t="n">
        <v>374</v>
      </c>
      <c r="I12" s="0" t="n">
        <v>373.4</v>
      </c>
      <c r="J12" s="0" t="n">
        <v>370.8</v>
      </c>
      <c r="K12" s="0" t="n">
        <v>391.7</v>
      </c>
      <c r="L12" s="0" t="n">
        <v>385.8</v>
      </c>
      <c r="M12" s="0" t="n">
        <v>391</v>
      </c>
      <c r="N12" s="0" t="n">
        <v>387.6</v>
      </c>
      <c r="O12" s="0" t="n">
        <v>381.4</v>
      </c>
      <c r="P12" s="0" t="n">
        <v>380.7</v>
      </c>
      <c r="Q12" s="0" t="n">
        <v>385.4</v>
      </c>
      <c r="R12" s="0" t="n">
        <v>384.9</v>
      </c>
      <c r="S12" s="0" t="n">
        <v>382.4</v>
      </c>
      <c r="T12" s="0" t="n">
        <v>398.1</v>
      </c>
      <c r="U12" s="0" t="n">
        <v>391.2</v>
      </c>
      <c r="V12" s="0" t="n">
        <v>378.6</v>
      </c>
      <c r="W12" s="0" t="n">
        <v>399.1</v>
      </c>
      <c r="X12" s="6" t="n">
        <f aca="false">AVERAGE(D12:W12)</f>
        <v>385.55</v>
      </c>
      <c r="Y12" s="7" t="n">
        <f aca="false">_xlfn.STDEV.S(D12:W12)</f>
        <v>8.41493034026895</v>
      </c>
      <c r="Z12" s="7" t="n">
        <f aca="false">Y12/X12</f>
        <v>0.021825782233871</v>
      </c>
    </row>
    <row r="13" customFormat="false" ht="16.75" hidden="false" customHeight="false" outlineLevel="0" collapsed="false">
      <c r="A13" s="10"/>
      <c r="B13" s="4"/>
      <c r="C13" s="5" t="n">
        <v>14</v>
      </c>
      <c r="D13" s="0" t="n">
        <v>397.4</v>
      </c>
      <c r="E13" s="0" t="n">
        <v>381.9</v>
      </c>
      <c r="F13" s="0" t="n">
        <v>379.2</v>
      </c>
      <c r="G13" s="0" t="n">
        <v>398</v>
      </c>
      <c r="H13" s="0" t="n">
        <v>380.9</v>
      </c>
      <c r="I13" s="0" t="n">
        <v>387.8</v>
      </c>
      <c r="J13" s="0" t="n">
        <v>382.5</v>
      </c>
      <c r="K13" s="0" t="n">
        <v>376.9</v>
      </c>
      <c r="L13" s="0" t="n">
        <v>393.8</v>
      </c>
      <c r="M13" s="0" t="n">
        <v>396</v>
      </c>
      <c r="N13" s="0" t="n">
        <v>396.1</v>
      </c>
      <c r="O13" s="0" t="n">
        <v>391.1</v>
      </c>
      <c r="P13" s="0" t="n">
        <v>387.1</v>
      </c>
      <c r="Q13" s="0" t="n">
        <v>385.2</v>
      </c>
      <c r="R13" s="0" t="n">
        <v>386.8</v>
      </c>
      <c r="S13" s="0" t="n">
        <v>388.3</v>
      </c>
      <c r="T13" s="0" t="n">
        <v>387.6</v>
      </c>
      <c r="U13" s="0" t="n">
        <v>394.7</v>
      </c>
      <c r="V13" s="0" t="n">
        <v>389.4</v>
      </c>
      <c r="W13" s="0" t="n">
        <v>386.3</v>
      </c>
      <c r="X13" s="6" t="n">
        <f aca="false">AVERAGE(D13:W13)</f>
        <v>388.35</v>
      </c>
      <c r="Y13" s="7" t="n">
        <f aca="false">_xlfn.STDEV.S(D13:W13)</f>
        <v>6.22985173431752</v>
      </c>
      <c r="Z13" s="7" t="n">
        <f aca="false">Y13/X13</f>
        <v>0.0160418481635574</v>
      </c>
    </row>
    <row r="14" customFormat="false" ht="16.75" hidden="false" customHeight="false" outlineLevel="0" collapsed="false">
      <c r="A14" s="10"/>
      <c r="B14" s="4"/>
      <c r="C14" s="5" t="n">
        <v>16</v>
      </c>
      <c r="D14" s="0" t="n">
        <v>384.1</v>
      </c>
      <c r="E14" s="0" t="n">
        <v>396.3</v>
      </c>
      <c r="F14" s="0" t="n">
        <v>387.8</v>
      </c>
      <c r="G14" s="0" t="n">
        <v>387.3</v>
      </c>
      <c r="H14" s="0" t="n">
        <v>383.7</v>
      </c>
      <c r="I14" s="0" t="n">
        <v>390.6</v>
      </c>
      <c r="J14" s="0" t="n">
        <v>393.5</v>
      </c>
      <c r="K14" s="0" t="n">
        <v>391.4</v>
      </c>
      <c r="L14" s="0" t="n">
        <v>394</v>
      </c>
      <c r="M14" s="0" t="n">
        <v>391.3</v>
      </c>
      <c r="N14" s="0" t="n">
        <v>402.4</v>
      </c>
      <c r="O14" s="0" t="n">
        <v>386.4</v>
      </c>
      <c r="P14" s="0" t="n">
        <v>391.4</v>
      </c>
      <c r="Q14" s="0" t="n">
        <v>389.9</v>
      </c>
      <c r="R14" s="0" t="n">
        <v>398.1</v>
      </c>
      <c r="S14" s="0" t="n">
        <v>379.8</v>
      </c>
      <c r="T14" s="0" t="n">
        <v>381.8</v>
      </c>
      <c r="U14" s="0" t="n">
        <v>391.3</v>
      </c>
      <c r="V14" s="0" t="n">
        <v>396.6</v>
      </c>
      <c r="W14" s="0" t="n">
        <v>390.7</v>
      </c>
      <c r="X14" s="6" t="n">
        <f aca="false">AVERAGE(D14:W14)</f>
        <v>390.42</v>
      </c>
      <c r="Y14" s="7" t="n">
        <f aca="false">_xlfn.STDEV.S(D14:W14)</f>
        <v>5.64927568715439</v>
      </c>
      <c r="Z14" s="7" t="n">
        <f aca="false">Y14/X14</f>
        <v>0.0144697394783935</v>
      </c>
    </row>
    <row r="15" customFormat="false" ht="16.75" hidden="false" customHeight="false" outlineLevel="0" collapsed="false">
      <c r="A15" s="12"/>
      <c r="B15" s="13"/>
      <c r="C15" s="5"/>
      <c r="X15" s="6"/>
      <c r="Y15" s="7"/>
      <c r="Z15" s="7"/>
    </row>
    <row r="16" customFormat="false" ht="16.75" hidden="false" customHeight="false" outlineLevel="0" collapsed="false">
      <c r="A16" s="12"/>
      <c r="B16" s="13"/>
      <c r="C16" s="5"/>
      <c r="X16" s="6"/>
      <c r="Y16" s="7"/>
      <c r="Z16" s="7"/>
    </row>
    <row r="17" customFormat="false" ht="16.75" hidden="false" customHeight="false" outlineLevel="0" collapsed="false">
      <c r="A17" s="12"/>
      <c r="B17" s="13"/>
      <c r="C17" s="5"/>
      <c r="X17" s="6"/>
      <c r="Y17" s="7"/>
      <c r="Z17" s="7"/>
    </row>
    <row r="18" customFormat="false" ht="16.75" hidden="false" customHeight="false" outlineLevel="0" collapsed="false">
      <c r="A18" s="12"/>
      <c r="B18" s="13"/>
      <c r="C18" s="5"/>
      <c r="X18" s="6"/>
      <c r="Y18" s="7"/>
      <c r="Z18" s="7"/>
    </row>
    <row r="19" customFormat="false" ht="16.75" hidden="false" customHeight="false" outlineLevel="0" collapsed="false">
      <c r="A19" s="12"/>
      <c r="B19" s="13"/>
      <c r="C19" s="5"/>
      <c r="X19" s="6"/>
      <c r="Y19" s="7"/>
      <c r="Z19" s="7"/>
    </row>
    <row r="20" customFormat="false" ht="16.75" hidden="false" customHeight="false" outlineLevel="0" collapsed="false">
      <c r="A20" s="12"/>
      <c r="B20" s="13"/>
      <c r="C20" s="5"/>
      <c r="X20" s="6"/>
      <c r="Y20" s="7"/>
      <c r="Z20" s="7"/>
    </row>
    <row r="21" customFormat="false" ht="16.75" hidden="false" customHeight="false" outlineLevel="0" collapsed="false">
      <c r="A21" s="12"/>
      <c r="B21" s="13"/>
      <c r="C21" s="5"/>
      <c r="X21" s="6"/>
      <c r="Y21" s="7"/>
      <c r="Z21" s="7"/>
    </row>
    <row r="22" customFormat="false" ht="16.75" hidden="false" customHeight="false" outlineLevel="0" collapsed="false">
      <c r="A22" s="12"/>
      <c r="B22" s="13"/>
      <c r="C22" s="5"/>
      <c r="X22" s="6"/>
      <c r="Y22" s="7"/>
      <c r="Z22" s="7"/>
    </row>
    <row r="23" customFormat="false" ht="16.75" hidden="false" customHeight="false" outlineLevel="0" collapsed="false">
      <c r="A23" s="12"/>
      <c r="B23" s="13"/>
      <c r="C23" s="5"/>
      <c r="X23" s="6"/>
      <c r="Y23" s="7"/>
      <c r="Z23" s="7"/>
    </row>
    <row r="24" customFormat="false" ht="16.75" hidden="false" customHeight="false" outlineLevel="0" collapsed="false">
      <c r="A24" s="11"/>
      <c r="B24" s="3"/>
      <c r="C24" s="5"/>
      <c r="X24" s="6"/>
      <c r="Y24" s="7"/>
      <c r="Z24" s="7"/>
    </row>
    <row r="25" customFormat="false" ht="15" hidden="false" customHeight="true" outlineLevel="0" collapsed="false">
      <c r="A25" s="1" t="s">
        <v>40</v>
      </c>
      <c r="B25" s="1"/>
      <c r="C25" s="1"/>
    </row>
    <row r="26" customFormat="false" ht="15" hidden="false" customHeight="true" outlineLevel="0" collapsed="false">
      <c r="A26" s="1"/>
      <c r="B26" s="1"/>
      <c r="C26" s="1"/>
      <c r="D26" s="2" t="s">
        <v>43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9.85" hidden="false" customHeight="false" outlineLevel="0" collapsed="false">
      <c r="A29" s="3" t="s">
        <v>2</v>
      </c>
      <c r="B29" s="3" t="s">
        <v>3</v>
      </c>
      <c r="C29" s="3" t="s">
        <v>41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  <c r="I29" s="3" t="s">
        <v>9</v>
      </c>
      <c r="J29" s="3" t="s">
        <v>10</v>
      </c>
      <c r="K29" s="3" t="s">
        <v>11</v>
      </c>
      <c r="L29" s="3" t="s">
        <v>12</v>
      </c>
      <c r="M29" s="3" t="s">
        <v>13</v>
      </c>
      <c r="N29" s="3" t="s">
        <v>14</v>
      </c>
      <c r="O29" s="3" t="s">
        <v>15</v>
      </c>
      <c r="P29" s="3" t="s">
        <v>16</v>
      </c>
      <c r="Q29" s="3" t="s">
        <v>17</v>
      </c>
      <c r="R29" s="3" t="s">
        <v>18</v>
      </c>
      <c r="S29" s="3" t="s">
        <v>19</v>
      </c>
      <c r="T29" s="3" t="s">
        <v>20</v>
      </c>
      <c r="U29" s="3" t="s">
        <v>21</v>
      </c>
      <c r="V29" s="3" t="s">
        <v>22</v>
      </c>
      <c r="W29" s="3" t="s">
        <v>23</v>
      </c>
      <c r="X29" s="3" t="s">
        <v>24</v>
      </c>
      <c r="Y29" s="3" t="s">
        <v>25</v>
      </c>
      <c r="Z29" s="3" t="s">
        <v>26</v>
      </c>
    </row>
    <row r="30" customFormat="false" ht="16.75" hidden="false" customHeight="false" outlineLevel="0" collapsed="false">
      <c r="A30" s="10" t="n">
        <v>30</v>
      </c>
      <c r="B30" s="4" t="n">
        <v>25</v>
      </c>
      <c r="C30" s="5" t="n">
        <v>0</v>
      </c>
      <c r="D30" s="0" t="n">
        <v>397.5</v>
      </c>
      <c r="E30" s="0" t="n">
        <v>418.2</v>
      </c>
      <c r="F30" s="0" t="n">
        <v>401.7</v>
      </c>
      <c r="G30" s="0" t="n">
        <v>402.1</v>
      </c>
      <c r="H30" s="0" t="n">
        <v>404.8</v>
      </c>
      <c r="I30" s="0" t="n">
        <v>393.1</v>
      </c>
      <c r="J30" s="0" t="n">
        <v>402</v>
      </c>
      <c r="K30" s="0" t="n">
        <v>403.7</v>
      </c>
      <c r="L30" s="0" t="n">
        <v>392.4</v>
      </c>
      <c r="M30" s="0" t="n">
        <v>405.4</v>
      </c>
      <c r="N30" s="0" t="n">
        <v>405.8</v>
      </c>
      <c r="O30" s="0" t="n">
        <v>408.1</v>
      </c>
      <c r="P30" s="0" t="n">
        <v>403.4</v>
      </c>
      <c r="Q30" s="0" t="n">
        <v>398.2</v>
      </c>
      <c r="R30" s="0" t="n">
        <v>388.5</v>
      </c>
      <c r="S30" s="0" t="n">
        <v>400.8</v>
      </c>
      <c r="T30" s="0" t="n">
        <v>404.2</v>
      </c>
      <c r="U30" s="0" t="n">
        <v>407.3</v>
      </c>
      <c r="V30" s="0" t="n">
        <v>412.6</v>
      </c>
      <c r="W30" s="0" t="n">
        <v>425.4</v>
      </c>
      <c r="X30" s="6" t="n">
        <f aca="false">AVERAGE(D30:W30)</f>
        <v>403.76</v>
      </c>
      <c r="Y30" s="7" t="n">
        <f aca="false">_xlfn.STDEV.S(D30:W30)</f>
        <v>8.45759702092864</v>
      </c>
      <c r="Z30" s="7" t="n">
        <f aca="false">Y30/X30</f>
        <v>0.020947089907194</v>
      </c>
    </row>
    <row r="31" customFormat="false" ht="16.75" hidden="false" customHeight="false" outlineLevel="0" collapsed="false">
      <c r="A31" s="10"/>
      <c r="B31" s="4"/>
      <c r="C31" s="5" t="n">
        <v>2</v>
      </c>
      <c r="D31" s="0" t="n">
        <v>398.4</v>
      </c>
      <c r="E31" s="0" t="n">
        <v>399.9</v>
      </c>
      <c r="F31" s="0" t="n">
        <v>395.2</v>
      </c>
      <c r="G31" s="0" t="n">
        <v>388.4</v>
      </c>
      <c r="H31" s="0" t="n">
        <v>402.6</v>
      </c>
      <c r="I31" s="0" t="n">
        <v>396.4</v>
      </c>
      <c r="J31" s="0" t="n">
        <v>392.8</v>
      </c>
      <c r="K31" s="0" t="n">
        <v>399.4</v>
      </c>
      <c r="L31" s="0" t="n">
        <v>394.3</v>
      </c>
      <c r="M31" s="0" t="n">
        <v>393.7</v>
      </c>
      <c r="N31" s="0" t="n">
        <v>395.2</v>
      </c>
      <c r="O31" s="0" t="n">
        <v>418.5</v>
      </c>
      <c r="P31" s="0" t="n">
        <v>399.1</v>
      </c>
      <c r="Q31" s="0" t="n">
        <v>393.5</v>
      </c>
      <c r="R31" s="0" t="n">
        <v>396.1</v>
      </c>
      <c r="S31" s="0" t="n">
        <v>390.8</v>
      </c>
      <c r="T31" s="0" t="n">
        <v>389.5</v>
      </c>
      <c r="U31" s="0" t="n">
        <v>396.8</v>
      </c>
      <c r="V31" s="0" t="n">
        <v>391.5</v>
      </c>
      <c r="W31" s="0" t="n">
        <v>391.4</v>
      </c>
      <c r="X31" s="6" t="n">
        <f aca="false">AVERAGE(D31:W31)</f>
        <v>396.175</v>
      </c>
      <c r="Y31" s="7" t="n">
        <f aca="false">_xlfn.STDEV.S(D31:W31)</f>
        <v>6.434109352342</v>
      </c>
      <c r="Z31" s="7" t="n">
        <f aca="false">Y31/X31</f>
        <v>0.0162405738684723</v>
      </c>
    </row>
    <row r="32" customFormat="false" ht="16.75" hidden="false" customHeight="false" outlineLevel="0" collapsed="false">
      <c r="A32" s="10"/>
      <c r="B32" s="4"/>
      <c r="C32" s="5" t="n">
        <v>4</v>
      </c>
      <c r="D32" s="0" t="n">
        <v>390.7</v>
      </c>
      <c r="E32" s="0" t="n">
        <v>393.2</v>
      </c>
      <c r="F32" s="0" t="n">
        <v>411.3</v>
      </c>
      <c r="G32" s="0" t="n">
        <v>383</v>
      </c>
      <c r="H32" s="0" t="n">
        <v>405.3</v>
      </c>
      <c r="I32" s="0" t="n">
        <v>389.5</v>
      </c>
      <c r="J32" s="0" t="n">
        <v>411.5</v>
      </c>
      <c r="K32" s="0" t="n">
        <v>397.2</v>
      </c>
      <c r="L32" s="0" t="n">
        <v>387.9</v>
      </c>
      <c r="M32" s="0" t="n">
        <v>400.7</v>
      </c>
      <c r="N32" s="0" t="n">
        <v>391.8</v>
      </c>
      <c r="O32" s="0" t="n">
        <v>404.2</v>
      </c>
      <c r="P32" s="0" t="n">
        <v>401.5</v>
      </c>
      <c r="Q32" s="0" t="n">
        <v>396.5</v>
      </c>
      <c r="R32" s="0" t="n">
        <v>392.2</v>
      </c>
      <c r="S32" s="0" t="n">
        <v>392</v>
      </c>
      <c r="T32" s="0" t="n">
        <v>393.9</v>
      </c>
      <c r="U32" s="0" t="n">
        <v>401.3</v>
      </c>
      <c r="V32" s="0" t="n">
        <v>388.7</v>
      </c>
      <c r="W32" s="0" t="n">
        <v>381.8</v>
      </c>
      <c r="X32" s="6" t="n">
        <f aca="false">AVERAGE(D32:W32)</f>
        <v>395.71</v>
      </c>
      <c r="Y32" s="7" t="n">
        <f aca="false">_xlfn.STDEV.S(D32:W32)</f>
        <v>8.36256696928578</v>
      </c>
      <c r="Z32" s="7" t="n">
        <f aca="false">Y32/X32</f>
        <v>0.0211330695946167</v>
      </c>
    </row>
    <row r="33" customFormat="false" ht="16.75" hidden="false" customHeight="false" outlineLevel="0" collapsed="false">
      <c r="A33" s="10"/>
      <c r="B33" s="4"/>
      <c r="C33" s="5" t="n">
        <v>6</v>
      </c>
      <c r="D33" s="0" t="n">
        <v>389.1</v>
      </c>
      <c r="E33" s="0" t="n">
        <v>381.3</v>
      </c>
      <c r="F33" s="0" t="n">
        <v>387.6</v>
      </c>
      <c r="G33" s="0" t="n">
        <v>392</v>
      </c>
      <c r="H33" s="0" t="n">
        <v>387</v>
      </c>
      <c r="I33" s="0" t="n">
        <v>396</v>
      </c>
      <c r="J33" s="0" t="n">
        <v>391.7</v>
      </c>
      <c r="K33" s="0" t="n">
        <v>386.2</v>
      </c>
      <c r="L33" s="0" t="n">
        <v>397.6</v>
      </c>
      <c r="M33" s="0" t="n">
        <v>391.7</v>
      </c>
      <c r="N33" s="0" t="n">
        <v>387.4</v>
      </c>
      <c r="O33" s="0" t="n">
        <v>387.1</v>
      </c>
      <c r="P33" s="0" t="n">
        <v>388</v>
      </c>
      <c r="Q33" s="0" t="n">
        <v>400.5</v>
      </c>
      <c r="R33" s="0" t="n">
        <v>407.7</v>
      </c>
      <c r="S33" s="0" t="n">
        <v>399.8</v>
      </c>
      <c r="T33" s="0" t="n">
        <v>391.3</v>
      </c>
      <c r="U33" s="0" t="n">
        <v>387.3</v>
      </c>
      <c r="V33" s="0" t="n">
        <v>386.6</v>
      </c>
      <c r="W33" s="0" t="n">
        <v>413.7</v>
      </c>
      <c r="X33" s="6" t="n">
        <f aca="false">AVERAGE(D33:W33)</f>
        <v>392.48</v>
      </c>
      <c r="Y33" s="7" t="n">
        <f aca="false">_xlfn.STDEV.S(D33:W33)</f>
        <v>7.97103968652838</v>
      </c>
      <c r="Z33" s="7" t="n">
        <f aca="false">Y33/X33</f>
        <v>0.0203094162416642</v>
      </c>
    </row>
    <row r="34" customFormat="false" ht="16.75" hidden="false" customHeight="false" outlineLevel="0" collapsed="false">
      <c r="A34" s="10"/>
      <c r="B34" s="4"/>
      <c r="C34" s="5" t="n">
        <v>8</v>
      </c>
      <c r="D34" s="0" t="n">
        <v>402.8</v>
      </c>
      <c r="E34" s="0" t="n">
        <v>401.6</v>
      </c>
      <c r="F34" s="0" t="n">
        <v>389.1</v>
      </c>
      <c r="G34" s="0" t="n">
        <v>392</v>
      </c>
      <c r="H34" s="0" t="n">
        <v>395.7</v>
      </c>
      <c r="I34" s="0" t="n">
        <v>378.4</v>
      </c>
      <c r="J34" s="0" t="n">
        <v>395.8</v>
      </c>
      <c r="K34" s="0" t="n">
        <v>404.1</v>
      </c>
      <c r="L34" s="0" t="n">
        <v>410.7</v>
      </c>
      <c r="M34" s="0" t="n">
        <v>386.2</v>
      </c>
      <c r="N34" s="0" t="n">
        <v>391.8</v>
      </c>
      <c r="O34" s="0" t="n">
        <v>379</v>
      </c>
      <c r="P34" s="0" t="n">
        <v>401.4</v>
      </c>
      <c r="Q34" s="0" t="n">
        <v>392.5</v>
      </c>
      <c r="R34" s="0" t="n">
        <v>382.3</v>
      </c>
      <c r="S34" s="0" t="n">
        <v>388.1</v>
      </c>
      <c r="T34" s="0" t="n">
        <v>384.7</v>
      </c>
      <c r="U34" s="0" t="n">
        <v>385.6</v>
      </c>
      <c r="V34" s="0" t="n">
        <v>393.2</v>
      </c>
      <c r="W34" s="0" t="n">
        <v>388.1</v>
      </c>
      <c r="X34" s="6" t="n">
        <f aca="false">AVERAGE(D34:W34)</f>
        <v>392.155</v>
      </c>
      <c r="Y34" s="7" t="n">
        <f aca="false">_xlfn.STDEV.S(D34:W34)</f>
        <v>8.69788086713927</v>
      </c>
      <c r="Z34" s="7" t="n">
        <f aca="false">Y34/X34</f>
        <v>0.0221797015647876</v>
      </c>
    </row>
    <row r="35" customFormat="false" ht="16.75" hidden="false" customHeight="false" outlineLevel="0" collapsed="false">
      <c r="A35" s="10"/>
      <c r="B35" s="4"/>
      <c r="C35" s="5" t="n">
        <v>10</v>
      </c>
      <c r="D35" s="0" t="n">
        <v>411.8</v>
      </c>
      <c r="E35" s="0" t="n">
        <v>395</v>
      </c>
      <c r="F35" s="0" t="n">
        <v>379.9</v>
      </c>
      <c r="G35" s="0" t="n">
        <v>387.6</v>
      </c>
      <c r="H35" s="0" t="n">
        <v>381.4</v>
      </c>
      <c r="I35" s="0" t="n">
        <v>383.4</v>
      </c>
      <c r="J35" s="0" t="n">
        <v>383.7</v>
      </c>
      <c r="K35" s="0" t="n">
        <v>397.8</v>
      </c>
      <c r="L35" s="0" t="n">
        <v>381.6</v>
      </c>
      <c r="M35" s="0" t="n">
        <v>392.3</v>
      </c>
      <c r="N35" s="0" t="n">
        <v>378.9</v>
      </c>
      <c r="O35" s="0" t="n">
        <v>404.5</v>
      </c>
      <c r="P35" s="0" t="n">
        <v>386.1</v>
      </c>
      <c r="Q35" s="0" t="n">
        <v>394.2</v>
      </c>
      <c r="R35" s="0" t="n">
        <v>378.7</v>
      </c>
      <c r="S35" s="0" t="n">
        <v>384.6</v>
      </c>
      <c r="T35" s="0" t="n">
        <v>395.1</v>
      </c>
      <c r="U35" s="0" t="n">
        <v>403.8</v>
      </c>
      <c r="V35" s="0" t="n">
        <v>401.9</v>
      </c>
      <c r="W35" s="0" t="n">
        <v>394.3</v>
      </c>
      <c r="X35" s="6" t="n">
        <f aca="false">AVERAGE(D35:W35)</f>
        <v>390.83</v>
      </c>
      <c r="Y35" s="7" t="n">
        <f aca="false">_xlfn.STDEV.S(D35:W35)</f>
        <v>9.70035810516401</v>
      </c>
      <c r="Z35" s="7" t="n">
        <f aca="false">Y35/X35</f>
        <v>0.0248198912702812</v>
      </c>
    </row>
    <row r="36" customFormat="false" ht="16.75" hidden="false" customHeight="false" outlineLevel="0" collapsed="false">
      <c r="A36" s="10"/>
      <c r="B36" s="4"/>
      <c r="C36" s="5" t="n">
        <v>12</v>
      </c>
      <c r="D36" s="0" t="n">
        <v>388.4</v>
      </c>
      <c r="E36" s="0" t="n">
        <v>398.1</v>
      </c>
      <c r="F36" s="0" t="n">
        <v>397.6</v>
      </c>
      <c r="G36" s="0" t="n">
        <v>382.8</v>
      </c>
      <c r="H36" s="0" t="n">
        <v>385.9</v>
      </c>
      <c r="I36" s="0" t="n">
        <v>392</v>
      </c>
      <c r="J36" s="0" t="n">
        <v>377.2</v>
      </c>
      <c r="K36" s="0" t="n">
        <v>395.6</v>
      </c>
      <c r="L36" s="0" t="n">
        <v>396.1</v>
      </c>
      <c r="M36" s="0" t="n">
        <v>389.3</v>
      </c>
      <c r="N36" s="0" t="n">
        <v>388.5</v>
      </c>
      <c r="O36" s="0" t="n">
        <v>381.2</v>
      </c>
      <c r="P36" s="0" t="n">
        <v>393.7</v>
      </c>
      <c r="Q36" s="0" t="n">
        <v>390.1</v>
      </c>
      <c r="R36" s="0" t="n">
        <v>386.4</v>
      </c>
      <c r="S36" s="0" t="n">
        <v>380.7</v>
      </c>
      <c r="T36" s="0" t="n">
        <v>378.1</v>
      </c>
      <c r="U36" s="0" t="n">
        <v>388.6</v>
      </c>
      <c r="V36" s="0" t="n">
        <v>386.9</v>
      </c>
      <c r="W36" s="0" t="n">
        <v>385.5</v>
      </c>
      <c r="X36" s="6" t="n">
        <f aca="false">AVERAGE(D36:W36)</f>
        <v>388.135</v>
      </c>
      <c r="Y36" s="7" t="n">
        <f aca="false">_xlfn.STDEV.S(D36:W36)</f>
        <v>6.19076349342947</v>
      </c>
      <c r="Z36" s="7" t="n">
        <f aca="false">Y36/X36</f>
        <v>0.0159500263914088</v>
      </c>
    </row>
    <row r="37" customFormat="false" ht="16.75" hidden="false" customHeight="false" outlineLevel="0" collapsed="false">
      <c r="A37" s="10"/>
      <c r="B37" s="4"/>
      <c r="C37" s="5" t="n">
        <v>14</v>
      </c>
      <c r="D37" s="0" t="n">
        <v>389.4</v>
      </c>
      <c r="E37" s="0" t="n">
        <v>375.4</v>
      </c>
      <c r="F37" s="0" t="n">
        <v>389.1</v>
      </c>
      <c r="G37" s="0" t="n">
        <v>381.5</v>
      </c>
      <c r="H37" s="0" t="n">
        <v>395</v>
      </c>
      <c r="I37" s="0" t="n">
        <v>386</v>
      </c>
      <c r="J37" s="0" t="n">
        <v>401.5</v>
      </c>
      <c r="K37" s="0" t="n">
        <v>378.8</v>
      </c>
      <c r="L37" s="0" t="n">
        <v>401.6</v>
      </c>
      <c r="M37" s="0" t="n">
        <v>397.5</v>
      </c>
      <c r="N37" s="0" t="n">
        <v>388.2</v>
      </c>
      <c r="O37" s="0" t="n">
        <v>394.8</v>
      </c>
      <c r="P37" s="0" t="n">
        <v>380.8</v>
      </c>
      <c r="Q37" s="0" t="n">
        <v>392</v>
      </c>
      <c r="R37" s="0" t="n">
        <v>385.8</v>
      </c>
      <c r="S37" s="0" t="n">
        <v>387.1</v>
      </c>
      <c r="T37" s="0" t="n">
        <v>399.5</v>
      </c>
      <c r="U37" s="0" t="n">
        <v>395.1</v>
      </c>
      <c r="V37" s="0" t="n">
        <v>394.2</v>
      </c>
      <c r="W37" s="0" t="n">
        <v>402.7</v>
      </c>
      <c r="X37" s="6" t="n">
        <f aca="false">AVERAGE(D37:W37)</f>
        <v>390.8</v>
      </c>
      <c r="Y37" s="7" t="n">
        <f aca="false">_xlfn.STDEV.S(D37:W37)</f>
        <v>7.94533958069959</v>
      </c>
      <c r="Z37" s="7" t="n">
        <f aca="false">Y37/X37</f>
        <v>0.0203309610560379</v>
      </c>
    </row>
    <row r="38" customFormat="false" ht="16.75" hidden="false" customHeight="false" outlineLevel="0" collapsed="false">
      <c r="A38" s="10"/>
      <c r="B38" s="4"/>
      <c r="C38" s="5" t="n">
        <v>16</v>
      </c>
      <c r="D38" s="0" t="n">
        <v>392.8</v>
      </c>
      <c r="E38" s="0" t="n">
        <v>378.7</v>
      </c>
      <c r="F38" s="0" t="n">
        <v>399.3</v>
      </c>
      <c r="G38" s="0" t="n">
        <v>393.4</v>
      </c>
      <c r="H38" s="0" t="n">
        <v>382</v>
      </c>
      <c r="I38" s="0" t="n">
        <v>388</v>
      </c>
      <c r="J38" s="0" t="n">
        <v>381.8</v>
      </c>
      <c r="K38" s="0" t="n">
        <v>391.3</v>
      </c>
      <c r="L38" s="0" t="n">
        <v>381.8</v>
      </c>
      <c r="M38" s="0" t="n">
        <v>393.4</v>
      </c>
      <c r="N38" s="0" t="n">
        <v>384.6</v>
      </c>
      <c r="O38" s="0" t="n">
        <v>386.3</v>
      </c>
      <c r="P38" s="0" t="n">
        <v>386</v>
      </c>
      <c r="Q38" s="0" t="n">
        <v>384.7</v>
      </c>
      <c r="R38" s="0" t="n">
        <v>388.5</v>
      </c>
      <c r="S38" s="0" t="n">
        <v>388.3</v>
      </c>
      <c r="T38" s="0" t="n">
        <v>382.8</v>
      </c>
      <c r="U38" s="0" t="n">
        <v>381.1</v>
      </c>
      <c r="V38" s="0" t="n">
        <v>387.2</v>
      </c>
      <c r="W38" s="0" t="n">
        <v>394</v>
      </c>
      <c r="X38" s="6" t="n">
        <f aca="false">AVERAGE(D38:W38)</f>
        <v>387.3</v>
      </c>
      <c r="Y38" s="7" t="n">
        <f aca="false">_xlfn.STDEV.S(D38:W38)</f>
        <v>5.38262311321788</v>
      </c>
      <c r="Z38" s="7" t="n">
        <f aca="false">Y38/X38</f>
        <v>0.0138978133571337</v>
      </c>
    </row>
    <row r="39" customFormat="false" ht="16.75" hidden="false" customHeight="false" outlineLevel="0" collapsed="false">
      <c r="A39" s="12"/>
      <c r="B39" s="13"/>
      <c r="C39" s="5"/>
      <c r="X39" s="6"/>
      <c r="Y39" s="7"/>
      <c r="Z39" s="7"/>
    </row>
    <row r="40" customFormat="false" ht="16.75" hidden="false" customHeight="false" outlineLevel="0" collapsed="false">
      <c r="A40" s="12"/>
      <c r="B40" s="13"/>
      <c r="C40" s="5"/>
      <c r="X40" s="6"/>
      <c r="Y40" s="7"/>
      <c r="Z40" s="7"/>
    </row>
    <row r="41" customFormat="false" ht="16.75" hidden="false" customHeight="false" outlineLevel="0" collapsed="false">
      <c r="A41" s="12"/>
      <c r="B41" s="13"/>
      <c r="C41" s="5"/>
      <c r="X41" s="6"/>
      <c r="Y41" s="7"/>
      <c r="Z41" s="7"/>
    </row>
    <row r="42" customFormat="false" ht="16.75" hidden="false" customHeight="false" outlineLevel="0" collapsed="false">
      <c r="A42" s="12"/>
      <c r="B42" s="13"/>
      <c r="C42" s="5"/>
      <c r="X42" s="6"/>
      <c r="Y42" s="7"/>
      <c r="Z42" s="7"/>
    </row>
    <row r="43" customFormat="false" ht="16.75" hidden="false" customHeight="false" outlineLevel="0" collapsed="false">
      <c r="A43" s="12"/>
      <c r="B43" s="13"/>
      <c r="C43" s="5"/>
      <c r="X43" s="6"/>
      <c r="Y43" s="7"/>
      <c r="Z43" s="7"/>
    </row>
    <row r="44" customFormat="false" ht="16.75" hidden="false" customHeight="false" outlineLevel="0" collapsed="false">
      <c r="A44" s="12"/>
      <c r="B44" s="13"/>
      <c r="C44" s="5"/>
      <c r="X44" s="6"/>
      <c r="Y44" s="7"/>
      <c r="Z44" s="7"/>
    </row>
    <row r="45" customFormat="false" ht="16.75" hidden="false" customHeight="false" outlineLevel="0" collapsed="false">
      <c r="A45" s="12"/>
      <c r="B45" s="13"/>
      <c r="C45" s="5"/>
      <c r="X45" s="6"/>
      <c r="Y45" s="7"/>
      <c r="Z45" s="7"/>
    </row>
    <row r="46" customFormat="false" ht="16.75" hidden="false" customHeight="false" outlineLevel="0" collapsed="false">
      <c r="A46" s="12"/>
      <c r="B46" s="13"/>
      <c r="C46" s="5"/>
      <c r="X46" s="6"/>
      <c r="Y46" s="7"/>
      <c r="Z46" s="7"/>
    </row>
    <row r="47" customFormat="false" ht="16.75" hidden="false" customHeight="false" outlineLevel="0" collapsed="false">
      <c r="A47" s="12"/>
      <c r="B47" s="13"/>
      <c r="C47" s="5"/>
      <c r="X47" s="6"/>
      <c r="Y47" s="7"/>
      <c r="Z47" s="7"/>
    </row>
    <row r="48" customFormat="false" ht="16.75" hidden="false" customHeight="false" outlineLevel="0" collapsed="false">
      <c r="A48" s="11"/>
      <c r="B48" s="3"/>
      <c r="C48" s="5"/>
      <c r="X48" s="6"/>
      <c r="Y48" s="7"/>
      <c r="Z48" s="7"/>
    </row>
    <row r="49" customFormat="false" ht="15" hidden="false" customHeight="true" outlineLevel="0" collapsed="false">
      <c r="A49" s="1" t="s">
        <v>40</v>
      </c>
      <c r="B49" s="1"/>
      <c r="C49" s="1"/>
    </row>
    <row r="50" customFormat="false" ht="15" hidden="false" customHeight="false" outlineLevel="0" collapsed="false">
      <c r="A50" s="1"/>
      <c r="B50" s="1"/>
      <c r="C50" s="1"/>
      <c r="D50" s="2" t="s">
        <v>44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9.85" hidden="false" customHeight="false" outlineLevel="0" collapsed="false">
      <c r="A53" s="3" t="s">
        <v>2</v>
      </c>
      <c r="B53" s="3" t="s">
        <v>3</v>
      </c>
      <c r="C53" s="3" t="s">
        <v>41</v>
      </c>
      <c r="D53" s="3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3" t="s">
        <v>9</v>
      </c>
      <c r="J53" s="3" t="s">
        <v>10</v>
      </c>
      <c r="K53" s="3" t="s">
        <v>11</v>
      </c>
      <c r="L53" s="3" t="s">
        <v>12</v>
      </c>
      <c r="M53" s="3" t="s">
        <v>13</v>
      </c>
      <c r="N53" s="3" t="s">
        <v>14</v>
      </c>
      <c r="O53" s="3" t="s">
        <v>15</v>
      </c>
      <c r="P53" s="3" t="s">
        <v>16</v>
      </c>
      <c r="Q53" s="3" t="s">
        <v>17</v>
      </c>
      <c r="R53" s="3" t="s">
        <v>18</v>
      </c>
      <c r="S53" s="3" t="s">
        <v>19</v>
      </c>
      <c r="T53" s="3" t="s">
        <v>20</v>
      </c>
      <c r="U53" s="3" t="s">
        <v>21</v>
      </c>
      <c r="V53" s="3" t="s">
        <v>22</v>
      </c>
      <c r="W53" s="3" t="s">
        <v>23</v>
      </c>
      <c r="X53" s="3" t="s">
        <v>24</v>
      </c>
      <c r="Y53" s="3" t="s">
        <v>25</v>
      </c>
      <c r="Z53" s="3" t="s">
        <v>26</v>
      </c>
    </row>
    <row r="54" customFormat="false" ht="16.75" hidden="false" customHeight="false" outlineLevel="0" collapsed="false">
      <c r="A54" s="10" t="n">
        <v>30</v>
      </c>
      <c r="B54" s="4" t="n">
        <v>25</v>
      </c>
      <c r="C54" s="5" t="n">
        <v>0</v>
      </c>
      <c r="D54" s="0" t="n">
        <v>395.3</v>
      </c>
      <c r="E54" s="0" t="n">
        <v>409.6</v>
      </c>
      <c r="F54" s="0" t="n">
        <v>409.7</v>
      </c>
      <c r="G54" s="0" t="n">
        <v>385.7</v>
      </c>
      <c r="H54" s="0" t="n">
        <v>417.3</v>
      </c>
      <c r="I54" s="0" t="n">
        <v>420</v>
      </c>
      <c r="J54" s="0" t="n">
        <v>399.3</v>
      </c>
      <c r="K54" s="0" t="n">
        <v>420.1</v>
      </c>
      <c r="L54" s="0" t="n">
        <v>402.7</v>
      </c>
      <c r="M54" s="0" t="n">
        <v>400.6</v>
      </c>
      <c r="N54" s="0" t="n">
        <v>402</v>
      </c>
      <c r="O54" s="0" t="n">
        <v>407.2</v>
      </c>
      <c r="P54" s="0" t="n">
        <v>403</v>
      </c>
      <c r="Q54" s="0" t="n">
        <v>418.7</v>
      </c>
      <c r="R54" s="0" t="n">
        <v>414.8</v>
      </c>
      <c r="S54" s="0" t="n">
        <v>399.4</v>
      </c>
      <c r="T54" s="0" t="n">
        <v>400.8</v>
      </c>
      <c r="U54" s="0" t="n">
        <v>405.2</v>
      </c>
      <c r="V54" s="0" t="n">
        <v>409.5</v>
      </c>
      <c r="W54" s="0" t="n">
        <v>411.2</v>
      </c>
      <c r="X54" s="6" t="n">
        <f aca="false">AVERAGE(D54:W54)</f>
        <v>406.605</v>
      </c>
      <c r="Y54" s="7" t="n">
        <f aca="false">_xlfn.STDEV.S(D54:W54)</f>
        <v>8.9708577891796</v>
      </c>
      <c r="Z54" s="7" t="n">
        <f aca="false">Y54/X54</f>
        <v>0.0220628319602061</v>
      </c>
    </row>
    <row r="55" customFormat="false" ht="16.75" hidden="false" customHeight="false" outlineLevel="0" collapsed="false">
      <c r="A55" s="10"/>
      <c r="B55" s="4"/>
      <c r="C55" s="5" t="n">
        <v>2</v>
      </c>
      <c r="D55" s="0" t="n">
        <v>419.8</v>
      </c>
      <c r="E55" s="0" t="n">
        <v>400.9</v>
      </c>
      <c r="F55" s="0" t="n">
        <v>402</v>
      </c>
      <c r="G55" s="0" t="n">
        <v>397.7</v>
      </c>
      <c r="H55" s="0" t="n">
        <v>393</v>
      </c>
      <c r="I55" s="0" t="n">
        <v>400.2</v>
      </c>
      <c r="J55" s="0" t="n">
        <v>406.4</v>
      </c>
      <c r="K55" s="0" t="n">
        <v>403.5</v>
      </c>
      <c r="L55" s="0" t="n">
        <v>397.3</v>
      </c>
      <c r="M55" s="0" t="n">
        <v>411.2</v>
      </c>
      <c r="N55" s="0" t="n">
        <v>396.3</v>
      </c>
      <c r="O55" s="0" t="n">
        <v>421.2</v>
      </c>
      <c r="P55" s="0" t="n">
        <v>403.7</v>
      </c>
      <c r="Q55" s="0" t="n">
        <v>404</v>
      </c>
      <c r="R55" s="0" t="n">
        <v>391.2</v>
      </c>
      <c r="S55" s="0" t="n">
        <v>407.4</v>
      </c>
      <c r="T55" s="0" t="n">
        <v>398.6</v>
      </c>
      <c r="U55" s="0" t="n">
        <v>399</v>
      </c>
      <c r="V55" s="0" t="n">
        <v>395.8</v>
      </c>
      <c r="W55" s="0" t="n">
        <v>386.7</v>
      </c>
      <c r="X55" s="6" t="n">
        <f aca="false">AVERAGE(D55:W55)</f>
        <v>401.795</v>
      </c>
      <c r="Y55" s="7" t="n">
        <f aca="false">_xlfn.STDEV.S(D55:W55)</f>
        <v>8.56919052861993</v>
      </c>
      <c r="Z55" s="7" t="n">
        <f aca="false">Y55/X55</f>
        <v>0.0213272701965428</v>
      </c>
    </row>
    <row r="56" customFormat="false" ht="16.75" hidden="false" customHeight="false" outlineLevel="0" collapsed="false">
      <c r="A56" s="10"/>
      <c r="B56" s="4"/>
      <c r="C56" s="5" t="n">
        <v>4</v>
      </c>
      <c r="D56" s="0" t="n">
        <v>392.4</v>
      </c>
      <c r="E56" s="0" t="n">
        <v>395.8</v>
      </c>
      <c r="F56" s="0" t="n">
        <v>394.9</v>
      </c>
      <c r="G56" s="0" t="n">
        <v>387.6</v>
      </c>
      <c r="H56" s="0" t="n">
        <v>398</v>
      </c>
      <c r="I56" s="0" t="n">
        <v>385.5</v>
      </c>
      <c r="J56" s="0" t="n">
        <v>407.1</v>
      </c>
      <c r="K56" s="0" t="n">
        <v>400</v>
      </c>
      <c r="L56" s="0" t="n">
        <v>402.3</v>
      </c>
      <c r="M56" s="0" t="n">
        <v>416.17</v>
      </c>
      <c r="N56" s="0" t="n">
        <v>395.1</v>
      </c>
      <c r="O56" s="0" t="n">
        <v>398.8</v>
      </c>
      <c r="P56" s="0" t="n">
        <v>392.6</v>
      </c>
      <c r="Q56" s="0" t="n">
        <v>409.2</v>
      </c>
      <c r="R56" s="0" t="n">
        <v>393.4</v>
      </c>
      <c r="S56" s="0" t="n">
        <v>389</v>
      </c>
      <c r="T56" s="0" t="n">
        <v>392.9</v>
      </c>
      <c r="U56" s="0" t="n">
        <v>401.3</v>
      </c>
      <c r="V56" s="0" t="n">
        <v>395.8</v>
      </c>
      <c r="W56" s="0" t="n">
        <v>391.4</v>
      </c>
      <c r="X56" s="6" t="n">
        <f aca="false">AVERAGE(D56:W56)</f>
        <v>396.9635</v>
      </c>
      <c r="Y56" s="7" t="n">
        <f aca="false">_xlfn.STDEV.S(D56:W56)</f>
        <v>7.52292025815284</v>
      </c>
      <c r="Z56" s="7" t="n">
        <f aca="false">Y56/X56</f>
        <v>0.0189511636665659</v>
      </c>
    </row>
    <row r="57" customFormat="false" ht="16.75" hidden="false" customHeight="false" outlineLevel="0" collapsed="false">
      <c r="A57" s="10"/>
      <c r="B57" s="4"/>
      <c r="C57" s="5" t="n">
        <v>6</v>
      </c>
      <c r="D57" s="0" t="n">
        <v>391</v>
      </c>
      <c r="E57" s="0" t="n">
        <v>388.9</v>
      </c>
      <c r="F57" s="0" t="n">
        <v>391.5</v>
      </c>
      <c r="G57" s="0" t="n">
        <v>410.3</v>
      </c>
      <c r="H57" s="0" t="n">
        <v>389.2</v>
      </c>
      <c r="I57" s="0" t="n">
        <v>387</v>
      </c>
      <c r="J57" s="0" t="n">
        <v>394</v>
      </c>
      <c r="K57" s="0" t="n">
        <v>398.8</v>
      </c>
      <c r="L57" s="0" t="n">
        <v>389.3</v>
      </c>
      <c r="M57" s="0" t="n">
        <v>393.7</v>
      </c>
      <c r="N57" s="0" t="n">
        <v>403.1</v>
      </c>
      <c r="O57" s="0" t="n">
        <v>397.4</v>
      </c>
      <c r="P57" s="0" t="n">
        <v>395.3</v>
      </c>
      <c r="Q57" s="0" t="n">
        <v>413.9</v>
      </c>
      <c r="R57" s="0" t="n">
        <v>393.2</v>
      </c>
      <c r="S57" s="0" t="n">
        <v>392.5</v>
      </c>
      <c r="T57" s="0" t="n">
        <v>399.8</v>
      </c>
      <c r="U57" s="0" t="n">
        <v>424.3</v>
      </c>
      <c r="V57" s="0" t="n">
        <v>393.3</v>
      </c>
      <c r="W57" s="0" t="n">
        <v>398.4</v>
      </c>
      <c r="X57" s="6" t="n">
        <f aca="false">AVERAGE(D57:W57)</f>
        <v>397.245</v>
      </c>
      <c r="Y57" s="7" t="n">
        <f aca="false">_xlfn.STDEV.S(D57:W57)</f>
        <v>9.40366529884128</v>
      </c>
      <c r="Z57" s="7" t="n">
        <f aca="false">Y57/X57</f>
        <v>0.0236722055629178</v>
      </c>
    </row>
    <row r="58" customFormat="false" ht="16.75" hidden="false" customHeight="false" outlineLevel="0" collapsed="false">
      <c r="A58" s="10"/>
      <c r="B58" s="4"/>
      <c r="C58" s="5" t="n">
        <v>8</v>
      </c>
      <c r="D58" s="0" t="n">
        <v>400.9</v>
      </c>
      <c r="E58" s="0" t="n">
        <v>385.4</v>
      </c>
      <c r="F58" s="0" t="n">
        <v>391.5</v>
      </c>
      <c r="G58" s="0" t="n">
        <v>391.8</v>
      </c>
      <c r="H58" s="0" t="n">
        <v>393</v>
      </c>
      <c r="I58" s="0" t="n">
        <v>383.8</v>
      </c>
      <c r="J58" s="0" t="n">
        <v>408.3</v>
      </c>
      <c r="K58" s="0" t="n">
        <v>391.1</v>
      </c>
      <c r="L58" s="0" t="n">
        <v>399.2</v>
      </c>
      <c r="M58" s="0" t="n">
        <v>389.5</v>
      </c>
      <c r="N58" s="0" t="n">
        <v>394.3</v>
      </c>
      <c r="O58" s="0" t="n">
        <v>393</v>
      </c>
      <c r="P58" s="0" t="n">
        <v>408.8</v>
      </c>
      <c r="Q58" s="0" t="n">
        <v>414.1</v>
      </c>
      <c r="R58" s="0" t="n">
        <v>400.7</v>
      </c>
      <c r="S58" s="0" t="n">
        <v>392.1</v>
      </c>
      <c r="T58" s="0" t="n">
        <v>387.9</v>
      </c>
      <c r="U58" s="0" t="n">
        <v>394.5</v>
      </c>
      <c r="V58" s="0" t="n">
        <v>399.2</v>
      </c>
      <c r="W58" s="0" t="n">
        <v>387.4</v>
      </c>
      <c r="X58" s="6" t="n">
        <f aca="false">AVERAGE(D58:W58)</f>
        <v>395.325</v>
      </c>
      <c r="Y58" s="7" t="n">
        <f aca="false">_xlfn.STDEV.S(D58:W58)</f>
        <v>8.08988159434527</v>
      </c>
      <c r="Z58" s="7" t="n">
        <f aca="false">Y58/X58</f>
        <v>0.0204638755311333</v>
      </c>
    </row>
    <row r="59" customFormat="false" ht="16.75" hidden="false" customHeight="false" outlineLevel="0" collapsed="false">
      <c r="A59" s="10"/>
      <c r="B59" s="4"/>
      <c r="C59" s="5" t="n">
        <v>10</v>
      </c>
      <c r="D59" s="0" t="n">
        <v>416.8</v>
      </c>
      <c r="E59" s="0" t="n">
        <v>397.1</v>
      </c>
      <c r="F59" s="0" t="n">
        <v>388.1</v>
      </c>
      <c r="G59" s="0" t="n">
        <v>398.3</v>
      </c>
      <c r="H59" s="0" t="n">
        <v>402.9</v>
      </c>
      <c r="I59" s="0" t="n">
        <v>396.1</v>
      </c>
      <c r="J59" s="0" t="n">
        <v>408.1</v>
      </c>
      <c r="K59" s="0" t="n">
        <v>413.1</v>
      </c>
      <c r="L59" s="0" t="n">
        <v>397.2</v>
      </c>
      <c r="M59" s="0" t="n">
        <v>393.2</v>
      </c>
      <c r="N59" s="0" t="n">
        <v>410.8</v>
      </c>
      <c r="O59" s="0" t="n">
        <v>400.3</v>
      </c>
      <c r="P59" s="0" t="n">
        <v>392</v>
      </c>
      <c r="Q59" s="0" t="n">
        <v>394.6</v>
      </c>
      <c r="R59" s="0" t="n">
        <v>392.9</v>
      </c>
      <c r="S59" s="0" t="n">
        <v>398.2</v>
      </c>
      <c r="T59" s="0" t="n">
        <v>396.6</v>
      </c>
      <c r="U59" s="0" t="n">
        <v>399.4</v>
      </c>
      <c r="V59" s="0" t="n">
        <v>402.9</v>
      </c>
      <c r="W59" s="0" t="n">
        <v>413.8</v>
      </c>
      <c r="X59" s="6" t="n">
        <f aca="false">AVERAGE(D59:W59)</f>
        <v>400.62</v>
      </c>
      <c r="Y59" s="7" t="n">
        <f aca="false">_xlfn.STDEV.S(D59:W59)</f>
        <v>8.00227599203074</v>
      </c>
      <c r="Z59" s="7" t="n">
        <f aca="false">Y59/X59</f>
        <v>0.0199747291498945</v>
      </c>
    </row>
    <row r="60" customFormat="false" ht="16.75" hidden="false" customHeight="false" outlineLevel="0" collapsed="false">
      <c r="A60" s="10"/>
      <c r="B60" s="4"/>
      <c r="C60" s="5" t="n">
        <v>12</v>
      </c>
      <c r="D60" s="0" t="n">
        <v>393.9</v>
      </c>
      <c r="E60" s="0" t="n">
        <v>396.5</v>
      </c>
      <c r="F60" s="0" t="n">
        <v>392.4</v>
      </c>
      <c r="G60" s="0" t="n">
        <v>392.6</v>
      </c>
      <c r="H60" s="0" t="n">
        <v>394.7</v>
      </c>
      <c r="I60" s="0" t="n">
        <v>387.7</v>
      </c>
      <c r="J60" s="0" t="n">
        <v>395.7</v>
      </c>
      <c r="K60" s="0" t="n">
        <v>414.9</v>
      </c>
      <c r="L60" s="0" t="n">
        <v>393.9</v>
      </c>
      <c r="M60" s="0" t="n">
        <v>396</v>
      </c>
      <c r="N60" s="0" t="n">
        <v>389</v>
      </c>
      <c r="O60" s="0" t="n">
        <v>386.7</v>
      </c>
      <c r="P60" s="0" t="n">
        <v>400.6</v>
      </c>
      <c r="Q60" s="0" t="n">
        <v>397.6</v>
      </c>
      <c r="R60" s="0" t="n">
        <v>387.9</v>
      </c>
      <c r="S60" s="0" t="n">
        <v>396.2</v>
      </c>
      <c r="T60" s="0" t="n">
        <v>389.1</v>
      </c>
      <c r="U60" s="0" t="n">
        <v>386</v>
      </c>
      <c r="V60" s="0" t="n">
        <v>397</v>
      </c>
      <c r="W60" s="0" t="n">
        <v>390.7</v>
      </c>
      <c r="X60" s="6" t="n">
        <f aca="false">AVERAGE(D60:W60)</f>
        <v>393.955</v>
      </c>
      <c r="Y60" s="7" t="n">
        <f aca="false">_xlfn.STDEV.S(D60:W60)</f>
        <v>6.40472481844458</v>
      </c>
      <c r="Z60" s="7" t="n">
        <f aca="false">Y60/X60</f>
        <v>0.0162575035687949</v>
      </c>
    </row>
    <row r="61" customFormat="false" ht="16.75" hidden="false" customHeight="false" outlineLevel="0" collapsed="false">
      <c r="A61" s="10"/>
      <c r="B61" s="4"/>
      <c r="C61" s="5" t="n">
        <v>14</v>
      </c>
      <c r="D61" s="0" t="n">
        <v>390.7</v>
      </c>
      <c r="E61" s="0" t="n">
        <v>400.9</v>
      </c>
      <c r="F61" s="0" t="n">
        <v>385.1</v>
      </c>
      <c r="G61" s="0" t="n">
        <v>388.1</v>
      </c>
      <c r="H61" s="0" t="n">
        <v>391.8</v>
      </c>
      <c r="I61" s="0" t="n">
        <v>399.9</v>
      </c>
      <c r="J61" s="0" t="n">
        <v>386.4</v>
      </c>
      <c r="K61" s="0" t="n">
        <v>402.2</v>
      </c>
      <c r="L61" s="0" t="n">
        <v>401.1</v>
      </c>
      <c r="M61" s="0" t="n">
        <v>395.1</v>
      </c>
      <c r="N61" s="0" t="n">
        <v>399.7</v>
      </c>
      <c r="O61" s="0" t="n">
        <v>427.4</v>
      </c>
      <c r="P61" s="0" t="n">
        <v>394.5</v>
      </c>
      <c r="Q61" s="0" t="n">
        <v>393.2</v>
      </c>
      <c r="R61" s="0" t="n">
        <v>397.2</v>
      </c>
      <c r="S61" s="0" t="n">
        <v>393.8</v>
      </c>
      <c r="T61" s="0" t="n">
        <v>393.6</v>
      </c>
      <c r="U61" s="0" t="n">
        <v>403</v>
      </c>
      <c r="V61" s="0" t="n">
        <v>410.7</v>
      </c>
      <c r="W61" s="0" t="n">
        <v>389.1</v>
      </c>
      <c r="X61" s="6" t="n">
        <f aca="false">AVERAGE(D61:W61)</f>
        <v>397.175</v>
      </c>
      <c r="Y61" s="7" t="n">
        <f aca="false">_xlfn.STDEV.S(D61:W61)</f>
        <v>9.54341189126382</v>
      </c>
      <c r="Z61" s="7" t="n">
        <f aca="false">Y61/X61</f>
        <v>0.0240282290961511</v>
      </c>
    </row>
    <row r="62" customFormat="false" ht="16.75" hidden="false" customHeight="false" outlineLevel="0" collapsed="false">
      <c r="A62" s="10"/>
      <c r="B62" s="4"/>
      <c r="C62" s="5" t="n">
        <v>16</v>
      </c>
      <c r="D62" s="0" t="n">
        <v>393.2</v>
      </c>
      <c r="E62" s="0" t="n">
        <v>397.5</v>
      </c>
      <c r="F62" s="0" t="n">
        <v>381.2</v>
      </c>
      <c r="G62" s="0" t="n">
        <v>395.2</v>
      </c>
      <c r="H62" s="0" t="n">
        <v>397.9</v>
      </c>
      <c r="I62" s="0" t="n">
        <v>393.7</v>
      </c>
      <c r="J62" s="0" t="n">
        <v>389.4</v>
      </c>
      <c r="K62" s="0" t="n">
        <v>390.2</v>
      </c>
      <c r="L62" s="0" t="n">
        <v>390.3</v>
      </c>
      <c r="M62" s="0" t="n">
        <v>391</v>
      </c>
      <c r="N62" s="0" t="n">
        <v>392.9</v>
      </c>
      <c r="O62" s="0" t="n">
        <v>390.5</v>
      </c>
      <c r="P62" s="0" t="n">
        <v>397.4</v>
      </c>
      <c r="Q62" s="0" t="n">
        <v>394.8</v>
      </c>
      <c r="R62" s="0" t="n">
        <v>398.6</v>
      </c>
      <c r="S62" s="0" t="n">
        <v>398.8</v>
      </c>
      <c r="T62" s="0" t="n">
        <v>394.9</v>
      </c>
      <c r="U62" s="0" t="n">
        <v>384.8</v>
      </c>
      <c r="V62" s="0" t="n">
        <v>401</v>
      </c>
      <c r="W62" s="0" t="n">
        <v>391.8</v>
      </c>
      <c r="X62" s="6" t="n">
        <f aca="false">AVERAGE(D62:W62)</f>
        <v>393.255</v>
      </c>
      <c r="Y62" s="7" t="n">
        <f aca="false">_xlfn.STDEV.S(D62:W62)</f>
        <v>4.86561241885606</v>
      </c>
      <c r="Z62" s="7" t="n">
        <f aca="false">Y62/X62</f>
        <v>0.0123726651126014</v>
      </c>
    </row>
    <row r="63" customFormat="false" ht="16.75" hidden="false" customHeight="false" outlineLevel="0" collapsed="false">
      <c r="A63" s="12"/>
      <c r="B63" s="13"/>
      <c r="C63" s="5"/>
      <c r="X63" s="6"/>
      <c r="Y63" s="7"/>
      <c r="Z63" s="7"/>
    </row>
    <row r="64" customFormat="false" ht="16.75" hidden="false" customHeight="false" outlineLevel="0" collapsed="false">
      <c r="A64" s="12"/>
      <c r="B64" s="13"/>
      <c r="C64" s="5"/>
      <c r="X64" s="6"/>
      <c r="Y64" s="7"/>
      <c r="Z64" s="7"/>
    </row>
    <row r="65" customFormat="false" ht="16.75" hidden="false" customHeight="false" outlineLevel="0" collapsed="false">
      <c r="A65" s="12"/>
      <c r="B65" s="13"/>
      <c r="C65" s="5"/>
      <c r="X65" s="6"/>
      <c r="Y65" s="7"/>
      <c r="Z65" s="7"/>
    </row>
    <row r="66" customFormat="false" ht="16.75" hidden="false" customHeight="false" outlineLevel="0" collapsed="false">
      <c r="A66" s="12"/>
      <c r="B66" s="13"/>
      <c r="C66" s="5"/>
      <c r="X66" s="6"/>
      <c r="Y66" s="7"/>
      <c r="Z66" s="7"/>
    </row>
    <row r="67" customFormat="false" ht="16.75" hidden="false" customHeight="false" outlineLevel="0" collapsed="false">
      <c r="A67" s="12"/>
      <c r="B67" s="13"/>
      <c r="C67" s="5"/>
      <c r="X67" s="6"/>
      <c r="Y67" s="7"/>
      <c r="Z67" s="7"/>
    </row>
    <row r="68" customFormat="false" ht="16.75" hidden="false" customHeight="false" outlineLevel="0" collapsed="false">
      <c r="A68" s="12"/>
      <c r="B68" s="13"/>
      <c r="C68" s="5"/>
      <c r="X68" s="6"/>
      <c r="Y68" s="7"/>
      <c r="Z68" s="7"/>
    </row>
    <row r="69" customFormat="false" ht="16.75" hidden="false" customHeight="false" outlineLevel="0" collapsed="false">
      <c r="A69" s="12"/>
      <c r="B69" s="13"/>
      <c r="C69" s="5"/>
      <c r="X69" s="6"/>
      <c r="Y69" s="7"/>
      <c r="Z69" s="7"/>
    </row>
    <row r="70" customFormat="false" ht="16.75" hidden="false" customHeight="false" outlineLevel="0" collapsed="false">
      <c r="A70" s="12"/>
      <c r="B70" s="13"/>
      <c r="C70" s="5"/>
      <c r="X70" s="6"/>
      <c r="Y70" s="7"/>
      <c r="Z70" s="7"/>
    </row>
    <row r="71" customFormat="false" ht="16.75" hidden="false" customHeight="false" outlineLevel="0" collapsed="false">
      <c r="A71" s="12"/>
      <c r="B71" s="13"/>
      <c r="C71" s="5"/>
      <c r="X71" s="6"/>
      <c r="Y71" s="7"/>
      <c r="Z71" s="7"/>
    </row>
    <row r="72" customFormat="false" ht="16.75" hidden="false" customHeight="false" outlineLevel="0" collapsed="false">
      <c r="A72" s="11"/>
      <c r="B72" s="3"/>
      <c r="C72" s="5"/>
      <c r="X72" s="6"/>
      <c r="Y72" s="7"/>
      <c r="Z72" s="7"/>
    </row>
    <row r="73" customFormat="false" ht="15" hidden="false" customHeight="true" outlineLevel="0" collapsed="false">
      <c r="A73" s="1" t="s">
        <v>40</v>
      </c>
      <c r="B73" s="1"/>
      <c r="C73" s="1"/>
    </row>
    <row r="74" customFormat="false" ht="15" hidden="false" customHeight="true" outlineLevel="0" collapsed="false">
      <c r="A74" s="1"/>
      <c r="B74" s="1"/>
      <c r="C74" s="1"/>
      <c r="D74" s="2" t="s">
        <v>45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true" outlineLevel="0" collapsed="false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9.85" hidden="false" customHeight="false" outlineLevel="0" collapsed="false">
      <c r="A77" s="3" t="s">
        <v>2</v>
      </c>
      <c r="B77" s="3" t="s">
        <v>3</v>
      </c>
      <c r="C77" s="3" t="s">
        <v>41</v>
      </c>
      <c r="D77" s="3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3" t="s">
        <v>9</v>
      </c>
      <c r="J77" s="3" t="s">
        <v>10</v>
      </c>
      <c r="K77" s="3" t="s">
        <v>11</v>
      </c>
      <c r="L77" s="3" t="s">
        <v>12</v>
      </c>
      <c r="M77" s="3" t="s">
        <v>13</v>
      </c>
      <c r="N77" s="3" t="s">
        <v>14</v>
      </c>
      <c r="O77" s="3" t="s">
        <v>15</v>
      </c>
      <c r="P77" s="3" t="s">
        <v>16</v>
      </c>
      <c r="Q77" s="3" t="s">
        <v>17</v>
      </c>
      <c r="R77" s="3" t="s">
        <v>18</v>
      </c>
      <c r="S77" s="3" t="s">
        <v>19</v>
      </c>
      <c r="T77" s="3" t="s">
        <v>20</v>
      </c>
      <c r="U77" s="3" t="s">
        <v>21</v>
      </c>
      <c r="V77" s="3" t="s">
        <v>22</v>
      </c>
      <c r="W77" s="3" t="s">
        <v>23</v>
      </c>
      <c r="X77" s="3" t="s">
        <v>24</v>
      </c>
      <c r="Y77" s="3" t="s">
        <v>25</v>
      </c>
      <c r="Z77" s="3" t="s">
        <v>26</v>
      </c>
    </row>
    <row r="78" customFormat="false" ht="16.75" hidden="false" customHeight="false" outlineLevel="0" collapsed="false">
      <c r="A78" s="10" t="n">
        <v>30</v>
      </c>
      <c r="B78" s="4" t="n">
        <v>25</v>
      </c>
      <c r="C78" s="5" t="n">
        <v>0</v>
      </c>
      <c r="D78" s="0" t="n">
        <v>402.3</v>
      </c>
      <c r="E78" s="0" t="n">
        <v>395.5</v>
      </c>
      <c r="F78" s="0" t="n">
        <v>400.4</v>
      </c>
      <c r="G78" s="0" t="n">
        <v>407.7</v>
      </c>
      <c r="H78" s="0" t="n">
        <v>406.6</v>
      </c>
      <c r="I78" s="0" t="n">
        <v>397.4</v>
      </c>
      <c r="J78" s="0" t="n">
        <v>407.3</v>
      </c>
      <c r="K78" s="0" t="n">
        <v>405.8</v>
      </c>
      <c r="L78" s="0" t="n">
        <v>409.3</v>
      </c>
      <c r="M78" s="0" t="n">
        <v>402.9</v>
      </c>
      <c r="N78" s="0" t="n">
        <v>406.4</v>
      </c>
      <c r="O78" s="0" t="n">
        <v>402.3</v>
      </c>
      <c r="P78" s="0" t="n">
        <v>410.1</v>
      </c>
      <c r="Q78" s="0" t="n">
        <v>413.2</v>
      </c>
      <c r="R78" s="0" t="n">
        <v>394.2</v>
      </c>
      <c r="S78" s="0" t="n">
        <v>402</v>
      </c>
      <c r="T78" s="0" t="n">
        <v>399.6</v>
      </c>
      <c r="U78" s="0" t="n">
        <v>396</v>
      </c>
      <c r="V78" s="0" t="n">
        <v>403.1</v>
      </c>
      <c r="W78" s="0" t="n">
        <v>404.4</v>
      </c>
      <c r="X78" s="6" t="n">
        <f aca="false">AVERAGE(D78:W78)</f>
        <v>403.325</v>
      </c>
      <c r="Y78" s="7" t="n">
        <f aca="false">_xlfn.STDEV.S(D78:W78)</f>
        <v>5.13654348247617</v>
      </c>
      <c r="Z78" s="7" t="n">
        <f aca="false">Y78/X78</f>
        <v>0.0127354949047943</v>
      </c>
    </row>
    <row r="79" customFormat="false" ht="16.75" hidden="false" customHeight="false" outlineLevel="0" collapsed="false">
      <c r="A79" s="10"/>
      <c r="B79" s="4"/>
      <c r="C79" s="5" t="n">
        <v>2</v>
      </c>
      <c r="D79" s="0" t="n">
        <v>387</v>
      </c>
      <c r="E79" s="0" t="n">
        <v>392</v>
      </c>
      <c r="F79" s="0" t="n">
        <v>392.4</v>
      </c>
      <c r="G79" s="0" t="n">
        <v>390.7</v>
      </c>
      <c r="H79" s="0" t="n">
        <v>398.4</v>
      </c>
      <c r="I79" s="0" t="n">
        <v>407.4</v>
      </c>
      <c r="J79" s="0" t="n">
        <v>412.4</v>
      </c>
      <c r="K79" s="0" t="n">
        <v>402.4</v>
      </c>
      <c r="L79" s="0" t="n">
        <v>388.8</v>
      </c>
      <c r="M79" s="0" t="n">
        <v>399.8</v>
      </c>
      <c r="N79" s="0" t="n">
        <v>402.1</v>
      </c>
      <c r="O79" s="0" t="n">
        <v>393.8</v>
      </c>
      <c r="P79" s="0" t="n">
        <v>414.6</v>
      </c>
      <c r="Q79" s="0" t="n">
        <v>392.1</v>
      </c>
      <c r="R79" s="0" t="n">
        <v>393.8</v>
      </c>
      <c r="S79" s="0" t="n">
        <v>398.3</v>
      </c>
      <c r="T79" s="0" t="n">
        <v>399.7</v>
      </c>
      <c r="U79" s="0" t="n">
        <v>395.4</v>
      </c>
      <c r="V79" s="0" t="n">
        <v>390.2</v>
      </c>
      <c r="W79" s="0" t="n">
        <v>398</v>
      </c>
      <c r="X79" s="6" t="n">
        <f aca="false">AVERAGE(D79:W79)</f>
        <v>397.465</v>
      </c>
      <c r="Y79" s="7" t="n">
        <f aca="false">_xlfn.STDEV.S(D79:W79)</f>
        <v>7.51169439151906</v>
      </c>
      <c r="Z79" s="7" t="n">
        <f aca="false">Y79/X79</f>
        <v>0.0188990084448167</v>
      </c>
    </row>
    <row r="80" customFormat="false" ht="16.75" hidden="false" customHeight="false" outlineLevel="0" collapsed="false">
      <c r="A80" s="10"/>
      <c r="B80" s="4"/>
      <c r="C80" s="5" t="n">
        <v>4</v>
      </c>
      <c r="D80" s="0" t="n">
        <v>389.1</v>
      </c>
      <c r="E80" s="0" t="n">
        <v>400.2</v>
      </c>
      <c r="F80" s="0" t="n">
        <v>400.2</v>
      </c>
      <c r="G80" s="0" t="n">
        <v>404.7</v>
      </c>
      <c r="H80" s="0" t="n">
        <v>406.6</v>
      </c>
      <c r="I80" s="0" t="n">
        <v>400.2</v>
      </c>
      <c r="J80" s="0" t="n">
        <v>399.2</v>
      </c>
      <c r="K80" s="0" t="n">
        <v>399.4</v>
      </c>
      <c r="L80" s="0" t="n">
        <v>405.7</v>
      </c>
      <c r="M80" s="0" t="n">
        <v>397.8</v>
      </c>
      <c r="N80" s="0" t="n">
        <v>405.6</v>
      </c>
      <c r="O80" s="0" t="n">
        <v>388.1</v>
      </c>
      <c r="P80" s="0" t="n">
        <v>405.1</v>
      </c>
      <c r="Q80" s="0" t="n">
        <v>390</v>
      </c>
      <c r="R80" s="0" t="n">
        <v>396.5</v>
      </c>
      <c r="S80" s="0" t="n">
        <v>393.9</v>
      </c>
      <c r="T80" s="0" t="n">
        <v>401.9</v>
      </c>
      <c r="U80" s="0" t="n">
        <v>405.9</v>
      </c>
      <c r="V80" s="0" t="n">
        <v>389.3</v>
      </c>
      <c r="W80" s="0" t="n">
        <v>402.3</v>
      </c>
      <c r="X80" s="6" t="n">
        <f aca="false">AVERAGE(D80:W80)</f>
        <v>399.085</v>
      </c>
      <c r="Y80" s="7" t="n">
        <f aca="false">_xlfn.STDEV.S(D80:W80)</f>
        <v>6.12503705681593</v>
      </c>
      <c r="Z80" s="7" t="n">
        <f aca="false">Y80/X80</f>
        <v>0.0153477005069495</v>
      </c>
    </row>
    <row r="81" customFormat="false" ht="16.75" hidden="false" customHeight="false" outlineLevel="0" collapsed="false">
      <c r="A81" s="10"/>
      <c r="B81" s="4"/>
      <c r="C81" s="5" t="n">
        <v>6</v>
      </c>
      <c r="D81" s="0" t="n">
        <v>425</v>
      </c>
      <c r="E81" s="0" t="n">
        <v>392.2</v>
      </c>
      <c r="F81" s="0" t="n">
        <v>395.3</v>
      </c>
      <c r="G81" s="0" t="n">
        <v>390.4</v>
      </c>
      <c r="H81" s="0" t="n">
        <v>390</v>
      </c>
      <c r="I81" s="0" t="n">
        <v>388</v>
      </c>
      <c r="J81" s="0" t="n">
        <v>393.7</v>
      </c>
      <c r="K81" s="0" t="n">
        <v>401</v>
      </c>
      <c r="L81" s="0" t="n">
        <v>388.8</v>
      </c>
      <c r="M81" s="0" t="n">
        <v>382.6</v>
      </c>
      <c r="N81" s="0" t="n">
        <v>394.2</v>
      </c>
      <c r="O81" s="0" t="n">
        <v>388.2</v>
      </c>
      <c r="P81" s="0" t="n">
        <v>384</v>
      </c>
      <c r="Q81" s="0" t="n">
        <v>419.5</v>
      </c>
      <c r="R81" s="0" t="n">
        <v>385.1</v>
      </c>
      <c r="S81" s="0" t="n">
        <v>378.8</v>
      </c>
      <c r="T81" s="0" t="n">
        <v>382.6</v>
      </c>
      <c r="U81" s="0" t="n">
        <v>395.5</v>
      </c>
      <c r="V81" s="0" t="n">
        <v>387.4</v>
      </c>
      <c r="W81" s="0" t="n">
        <v>395</v>
      </c>
      <c r="X81" s="6" t="n">
        <f aca="false">AVERAGE(D81:W81)</f>
        <v>392.865</v>
      </c>
      <c r="Y81" s="7" t="n">
        <f aca="false">_xlfn.STDEV.S(D81:W81)</f>
        <v>11.4297983129049</v>
      </c>
      <c r="Z81" s="7" t="n">
        <f aca="false">Y81/X81</f>
        <v>0.0290934502002085</v>
      </c>
    </row>
    <row r="82" customFormat="false" ht="16.75" hidden="false" customHeight="false" outlineLevel="0" collapsed="false">
      <c r="A82" s="10"/>
      <c r="B82" s="4"/>
      <c r="C82" s="5" t="n">
        <v>8</v>
      </c>
      <c r="D82" s="0" t="n">
        <v>381.5</v>
      </c>
      <c r="E82" s="0" t="n">
        <v>421.9</v>
      </c>
      <c r="F82" s="0" t="n">
        <v>391.2</v>
      </c>
      <c r="G82" s="0" t="n">
        <v>392.3</v>
      </c>
      <c r="H82" s="0" t="n">
        <v>392.9</v>
      </c>
      <c r="I82" s="0" t="n">
        <v>395</v>
      </c>
      <c r="J82" s="0" t="n">
        <v>391.9</v>
      </c>
      <c r="K82" s="0" t="n">
        <v>383.8</v>
      </c>
      <c r="L82" s="0" t="n">
        <v>380.6</v>
      </c>
      <c r="M82" s="0" t="n">
        <v>388.9</v>
      </c>
      <c r="N82" s="0" t="n">
        <v>391.7</v>
      </c>
      <c r="O82" s="0" t="n">
        <v>387.3</v>
      </c>
      <c r="P82" s="0" t="n">
        <v>419</v>
      </c>
      <c r="Q82" s="0" t="n">
        <v>387.3</v>
      </c>
      <c r="R82" s="0" t="n">
        <v>385.4</v>
      </c>
      <c r="S82" s="0" t="n">
        <v>391.8</v>
      </c>
      <c r="T82" s="0" t="n">
        <v>398</v>
      </c>
      <c r="U82" s="0" t="n">
        <v>389.1</v>
      </c>
      <c r="V82" s="0" t="n">
        <v>388.7</v>
      </c>
      <c r="W82" s="0" t="n">
        <v>392.1</v>
      </c>
      <c r="X82" s="6" t="n">
        <f aca="false">AVERAGE(D82:W82)</f>
        <v>392.52</v>
      </c>
      <c r="Y82" s="7" t="n">
        <f aca="false">_xlfn.STDEV.S(D82:W82)</f>
        <v>10.4840530531399</v>
      </c>
      <c r="Z82" s="7" t="n">
        <f aca="false">Y82/X82</f>
        <v>0.0267096021938753</v>
      </c>
    </row>
    <row r="83" customFormat="false" ht="16.75" hidden="false" customHeight="false" outlineLevel="0" collapsed="false">
      <c r="A83" s="10"/>
      <c r="B83" s="4"/>
      <c r="C83" s="5" t="n">
        <v>10</v>
      </c>
      <c r="D83" s="0" t="n">
        <v>395.5</v>
      </c>
      <c r="E83" s="0" t="n">
        <v>392.7</v>
      </c>
      <c r="F83" s="0" t="n">
        <v>391</v>
      </c>
      <c r="G83" s="0" t="n">
        <v>394.1</v>
      </c>
      <c r="H83" s="0" t="n">
        <v>390.7</v>
      </c>
      <c r="I83" s="0" t="n">
        <v>390</v>
      </c>
      <c r="J83" s="0" t="n">
        <v>389.8</v>
      </c>
      <c r="K83" s="0" t="n">
        <v>394.9</v>
      </c>
      <c r="L83" s="0" t="n">
        <v>396.2</v>
      </c>
      <c r="M83" s="0" t="n">
        <v>378</v>
      </c>
      <c r="N83" s="0" t="n">
        <v>387.8</v>
      </c>
      <c r="O83" s="0" t="n">
        <v>393.9</v>
      </c>
      <c r="P83" s="0" t="n">
        <v>391.5</v>
      </c>
      <c r="Q83" s="0" t="n">
        <v>401.2</v>
      </c>
      <c r="R83" s="0" t="n">
        <v>393.1</v>
      </c>
      <c r="S83" s="0" t="n">
        <v>387.7</v>
      </c>
      <c r="T83" s="0" t="n">
        <v>389.3</v>
      </c>
      <c r="U83" s="0" t="n">
        <v>390.3</v>
      </c>
      <c r="V83" s="0" t="n">
        <v>384.6</v>
      </c>
      <c r="W83" s="0" t="n">
        <v>394.9</v>
      </c>
      <c r="X83" s="6" t="n">
        <f aca="false">AVERAGE(D83:W83)</f>
        <v>391.36</v>
      </c>
      <c r="Y83" s="7" t="n">
        <f aca="false">_xlfn.STDEV.S(D83:W83)</f>
        <v>4.82170531091056</v>
      </c>
      <c r="Z83" s="7" t="n">
        <f aca="false">Y83/X83</f>
        <v>0.0123203835622204</v>
      </c>
    </row>
    <row r="84" customFormat="false" ht="16.75" hidden="false" customHeight="false" outlineLevel="0" collapsed="false">
      <c r="A84" s="10"/>
      <c r="B84" s="4"/>
      <c r="C84" s="5" t="n">
        <v>12</v>
      </c>
      <c r="D84" s="0" t="n">
        <v>427.1</v>
      </c>
      <c r="E84" s="0" t="n">
        <v>395.2</v>
      </c>
      <c r="F84" s="0" t="n">
        <v>387.7</v>
      </c>
      <c r="G84" s="0" t="n">
        <v>392.5</v>
      </c>
      <c r="H84" s="0" t="n">
        <v>384.4</v>
      </c>
      <c r="I84" s="0" t="n">
        <v>388</v>
      </c>
      <c r="J84" s="0" t="n">
        <v>395</v>
      </c>
      <c r="K84" s="0" t="n">
        <v>374.3</v>
      </c>
      <c r="L84" s="0" t="n">
        <v>394.3</v>
      </c>
      <c r="M84" s="0" t="n">
        <v>389.1</v>
      </c>
      <c r="N84" s="0" t="n">
        <v>405.7</v>
      </c>
      <c r="O84" s="0" t="n">
        <v>393.8</v>
      </c>
      <c r="P84" s="0" t="n">
        <v>397.6</v>
      </c>
      <c r="Q84" s="0" t="n">
        <v>390.3</v>
      </c>
      <c r="R84" s="0" t="n">
        <v>389.9</v>
      </c>
      <c r="S84" s="0" t="n">
        <v>392.6</v>
      </c>
      <c r="T84" s="0" t="n">
        <v>398.2</v>
      </c>
      <c r="U84" s="0" t="n">
        <v>389.5</v>
      </c>
      <c r="V84" s="0" t="n">
        <v>388.6</v>
      </c>
      <c r="W84" s="0" t="n">
        <v>392.1</v>
      </c>
      <c r="X84" s="6" t="n">
        <f aca="false">AVERAGE(D84:W84)</f>
        <v>393.295</v>
      </c>
      <c r="Y84" s="7" t="n">
        <f aca="false">_xlfn.STDEV.S(D84:W84)</f>
        <v>10.0614153550765</v>
      </c>
      <c r="Z84" s="7" t="n">
        <f aca="false">Y84/X84</f>
        <v>0.0255823627431736</v>
      </c>
    </row>
    <row r="85" customFormat="false" ht="16.75" hidden="false" customHeight="false" outlineLevel="0" collapsed="false">
      <c r="A85" s="10"/>
      <c r="B85" s="4"/>
      <c r="C85" s="5" t="n">
        <v>14</v>
      </c>
      <c r="D85" s="0" t="n">
        <v>388.2</v>
      </c>
      <c r="E85" s="0" t="n">
        <v>401.2</v>
      </c>
      <c r="F85" s="0" t="n">
        <v>391.5</v>
      </c>
      <c r="G85" s="0" t="n">
        <v>399.4</v>
      </c>
      <c r="H85" s="0" t="n">
        <v>393.1</v>
      </c>
      <c r="I85" s="0" t="n">
        <v>395.7</v>
      </c>
      <c r="J85" s="0" t="n">
        <v>390.1</v>
      </c>
      <c r="K85" s="0" t="n">
        <v>399.5</v>
      </c>
      <c r="L85" s="0" t="n">
        <v>389.1</v>
      </c>
      <c r="M85" s="0" t="n">
        <v>401.8</v>
      </c>
      <c r="N85" s="0" t="n">
        <v>394.6</v>
      </c>
      <c r="O85" s="0" t="n">
        <v>398.8</v>
      </c>
      <c r="P85" s="0" t="n">
        <v>404.4</v>
      </c>
      <c r="Q85" s="0" t="n">
        <v>395.1</v>
      </c>
      <c r="R85" s="0" t="n">
        <v>394.7</v>
      </c>
      <c r="S85" s="0" t="n">
        <v>391.6</v>
      </c>
      <c r="T85" s="0" t="n">
        <v>387.7</v>
      </c>
      <c r="U85" s="0" t="n">
        <v>412</v>
      </c>
      <c r="V85" s="0" t="n">
        <v>418.6</v>
      </c>
      <c r="W85" s="0" t="n">
        <v>378.2</v>
      </c>
      <c r="X85" s="6" t="n">
        <f aca="false">AVERAGE(D85:W85)</f>
        <v>396.265</v>
      </c>
      <c r="Y85" s="7" t="n">
        <f aca="false">_xlfn.STDEV.S(D85:W85)</f>
        <v>8.91422724460293</v>
      </c>
      <c r="Z85" s="7" t="n">
        <f aca="false">Y85/X85</f>
        <v>0.0224956209723365</v>
      </c>
    </row>
    <row r="86" customFormat="false" ht="16.75" hidden="false" customHeight="false" outlineLevel="0" collapsed="false">
      <c r="A86" s="10"/>
      <c r="B86" s="4"/>
      <c r="C86" s="5" t="n">
        <v>16</v>
      </c>
      <c r="D86" s="0" t="n">
        <v>400.3</v>
      </c>
      <c r="E86" s="0" t="n">
        <v>387.3</v>
      </c>
      <c r="F86" s="0" t="n">
        <v>401</v>
      </c>
      <c r="G86" s="0" t="n">
        <v>401.4</v>
      </c>
      <c r="H86" s="0" t="n">
        <v>393.4</v>
      </c>
      <c r="I86" s="0" t="n">
        <v>394.9</v>
      </c>
      <c r="J86" s="0" t="n">
        <v>401.2</v>
      </c>
      <c r="K86" s="0" t="n">
        <v>384.8</v>
      </c>
      <c r="L86" s="0" t="n">
        <v>396.3</v>
      </c>
      <c r="M86" s="0" t="n">
        <v>389.5</v>
      </c>
      <c r="N86" s="0" t="n">
        <v>374.2</v>
      </c>
      <c r="O86" s="0" t="n">
        <v>390.1</v>
      </c>
      <c r="P86" s="0" t="n">
        <v>395.3</v>
      </c>
      <c r="Q86" s="0" t="n">
        <v>392.6</v>
      </c>
      <c r="R86" s="0" t="n">
        <v>388.8</v>
      </c>
      <c r="S86" s="0" t="n">
        <v>398.4</v>
      </c>
      <c r="T86" s="0" t="n">
        <v>390.6</v>
      </c>
      <c r="U86" s="0" t="n">
        <v>382.2</v>
      </c>
      <c r="V86" s="0" t="n">
        <v>397</v>
      </c>
      <c r="W86" s="0" t="n">
        <v>383.3</v>
      </c>
      <c r="X86" s="6" t="n">
        <f aca="false">AVERAGE(D86:W86)</f>
        <v>392.13</v>
      </c>
      <c r="Y86" s="7" t="n">
        <f aca="false">_xlfn.STDEV.S(D86:W86)</f>
        <v>7.30242209277529</v>
      </c>
      <c r="Z86" s="7" t="n">
        <f aca="false">Y86/X86</f>
        <v>0.0186224519745372</v>
      </c>
    </row>
    <row r="97" customFormat="false" ht="15" hidden="false" customHeight="true" outlineLevel="0" collapsed="false"/>
    <row r="121" customFormat="false" ht="15" hidden="false" customHeight="true" outlineLevel="0" collapsed="false"/>
  </sheetData>
  <mergeCells count="16">
    <mergeCell ref="A1:C3"/>
    <mergeCell ref="D2:Z4"/>
    <mergeCell ref="A6:A14"/>
    <mergeCell ref="B6:B14"/>
    <mergeCell ref="A25:C27"/>
    <mergeCell ref="D26:Z28"/>
    <mergeCell ref="A30:A38"/>
    <mergeCell ref="B30:B38"/>
    <mergeCell ref="A49:C51"/>
    <mergeCell ref="D50:Z52"/>
    <mergeCell ref="A54:A62"/>
    <mergeCell ref="B54:B62"/>
    <mergeCell ref="A73:C75"/>
    <mergeCell ref="D74:Z76"/>
    <mergeCell ref="A78:A86"/>
    <mergeCell ref="B78:B8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86" activeCellId="0" sqref="A86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4" min="24" style="0" width="9.42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39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355.2</v>
      </c>
      <c r="E6" s="0" t="n">
        <v>350.6</v>
      </c>
      <c r="F6" s="0" t="n">
        <v>349.6</v>
      </c>
      <c r="G6" s="0" t="n">
        <v>351.9</v>
      </c>
      <c r="H6" s="0" t="n">
        <v>347.8</v>
      </c>
      <c r="I6" s="0" t="n">
        <v>350.9</v>
      </c>
      <c r="J6" s="0" t="n">
        <v>348.9</v>
      </c>
      <c r="K6" s="0" t="n">
        <v>350.4</v>
      </c>
      <c r="L6" s="0" t="n">
        <v>349.6</v>
      </c>
      <c r="M6" s="0" t="n">
        <v>346.9</v>
      </c>
      <c r="N6" s="0" t="n">
        <v>348.5</v>
      </c>
      <c r="O6" s="0" t="n">
        <v>349.5</v>
      </c>
      <c r="P6" s="0" t="n">
        <v>348.5</v>
      </c>
      <c r="Q6" s="0" t="n">
        <v>350</v>
      </c>
      <c r="R6" s="0" t="n">
        <v>342.1</v>
      </c>
      <c r="S6" s="0" t="n">
        <v>347.8</v>
      </c>
      <c r="T6" s="0" t="n">
        <v>350.6</v>
      </c>
      <c r="U6" s="0" t="n">
        <v>346</v>
      </c>
      <c r="V6" s="0" t="n">
        <v>346.3</v>
      </c>
      <c r="W6" s="0" t="n">
        <v>349.1</v>
      </c>
      <c r="X6" s="6" t="n">
        <f aca="false">AVERAGE(D6:W6)</f>
        <v>349.01</v>
      </c>
      <c r="Y6" s="7" t="n">
        <f aca="false">_xlfn.STDEV.S(D6:W6)</f>
        <v>2.62796699490609</v>
      </c>
      <c r="Z6" s="7" t="n">
        <f aca="false">Y6/X6</f>
        <v>0.00752977563653217</v>
      </c>
    </row>
    <row r="7" customFormat="false" ht="16.75" hidden="false" customHeight="false" outlineLevel="0" collapsed="false">
      <c r="B7" s="4"/>
      <c r="C7" s="5" t="n">
        <v>25</v>
      </c>
      <c r="D7" s="0" t="n">
        <v>343.7</v>
      </c>
      <c r="E7" s="0" t="n">
        <v>343.7</v>
      </c>
      <c r="F7" s="0" t="n">
        <v>345.3</v>
      </c>
      <c r="G7" s="0" t="n">
        <v>343.3</v>
      </c>
      <c r="H7" s="0" t="n">
        <v>347.9</v>
      </c>
      <c r="I7" s="0" t="n">
        <v>349.4</v>
      </c>
      <c r="J7" s="0" t="n">
        <v>346.2</v>
      </c>
      <c r="K7" s="0" t="n">
        <v>346.5</v>
      </c>
      <c r="L7" s="0" t="n">
        <v>343.8</v>
      </c>
      <c r="M7" s="0" t="n">
        <v>346</v>
      </c>
      <c r="N7" s="0" t="n">
        <v>352.5</v>
      </c>
      <c r="O7" s="0" t="n">
        <v>347.6</v>
      </c>
      <c r="P7" s="0" t="n">
        <v>345.3</v>
      </c>
      <c r="Q7" s="0" t="n">
        <v>347.6</v>
      </c>
      <c r="R7" s="0" t="n">
        <v>350.8</v>
      </c>
      <c r="S7" s="0" t="n">
        <v>343.8</v>
      </c>
      <c r="T7" s="0" t="n">
        <v>345.3</v>
      </c>
      <c r="U7" s="0" t="n">
        <v>346.6</v>
      </c>
      <c r="V7" s="0" t="n">
        <v>349</v>
      </c>
      <c r="W7" s="0" t="n">
        <v>350.8</v>
      </c>
      <c r="X7" s="6" t="n">
        <f aca="false">AVERAGE(D7:W7)</f>
        <v>346.755</v>
      </c>
      <c r="Y7" s="7" t="n">
        <f aca="false">_xlfn.STDEV.S(D7:W7)</f>
        <v>2.67433710428742</v>
      </c>
      <c r="Z7" s="7" t="n">
        <f aca="false">Y7/X7</f>
        <v>0.00771246875830895</v>
      </c>
    </row>
    <row r="8" customFormat="false" ht="16.75" hidden="false" customHeight="false" outlineLevel="0" collapsed="false">
      <c r="B8" s="4"/>
      <c r="C8" s="5" t="n">
        <v>38</v>
      </c>
      <c r="D8" s="0" t="n">
        <v>334.9</v>
      </c>
      <c r="E8" s="0" t="n">
        <v>341.3</v>
      </c>
      <c r="F8" s="0" t="n">
        <v>343.3</v>
      </c>
      <c r="G8" s="0" t="n">
        <v>342.8</v>
      </c>
      <c r="H8" s="0" t="n">
        <v>339.6</v>
      </c>
      <c r="I8" s="0" t="n">
        <v>339.5</v>
      </c>
      <c r="J8" s="0" t="n">
        <v>341.9</v>
      </c>
      <c r="K8" s="0" t="n">
        <v>344.5</v>
      </c>
      <c r="L8" s="0" t="n">
        <v>335</v>
      </c>
      <c r="M8" s="0" t="n">
        <v>338.3</v>
      </c>
      <c r="N8" s="0" t="n">
        <v>345.3</v>
      </c>
      <c r="O8" s="0" t="n">
        <v>339.8</v>
      </c>
      <c r="P8" s="0" t="n">
        <v>338.3</v>
      </c>
      <c r="Q8" s="0" t="n">
        <v>338.9</v>
      </c>
      <c r="R8" s="0" t="n">
        <v>337.8</v>
      </c>
      <c r="S8" s="0" t="n">
        <v>343.1</v>
      </c>
      <c r="T8" s="0" t="n">
        <v>339.9</v>
      </c>
      <c r="U8" s="0" t="n">
        <v>339.8</v>
      </c>
      <c r="V8" s="0" t="n">
        <v>339.6</v>
      </c>
      <c r="W8" s="0" t="n">
        <v>341.3</v>
      </c>
      <c r="X8" s="6" t="n">
        <f aca="false">AVERAGE(D8:W8)</f>
        <v>340.245</v>
      </c>
      <c r="Y8" s="7" t="n">
        <f aca="false">_xlfn.STDEV.S(D8:W8)</f>
        <v>2.77175129893682</v>
      </c>
      <c r="Z8" s="7" t="n">
        <f aca="false">Y8/X8</f>
        <v>0.00814633954631755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343.5</v>
      </c>
      <c r="E9" s="0" t="n">
        <v>322</v>
      </c>
      <c r="F9" s="0" t="n">
        <v>329.2</v>
      </c>
      <c r="G9" s="0" t="n">
        <v>329.5</v>
      </c>
      <c r="H9" s="0" t="n">
        <v>315.8</v>
      </c>
      <c r="I9" s="0" t="n">
        <v>339.9</v>
      </c>
      <c r="J9" s="0" t="n">
        <v>318.1</v>
      </c>
      <c r="K9" s="0" t="n">
        <v>334</v>
      </c>
      <c r="L9" s="0" t="n">
        <v>320.6</v>
      </c>
      <c r="M9" s="0" t="n">
        <v>319</v>
      </c>
      <c r="N9" s="0" t="n">
        <v>325.6</v>
      </c>
      <c r="O9" s="0" t="n">
        <v>321.8</v>
      </c>
      <c r="P9" s="0" t="n">
        <v>320.8</v>
      </c>
      <c r="Q9" s="0" t="n">
        <v>321.4</v>
      </c>
      <c r="R9" s="0" t="n">
        <v>319.4</v>
      </c>
      <c r="S9" s="0" t="n">
        <v>321.3</v>
      </c>
      <c r="T9" s="0" t="n">
        <v>323.3</v>
      </c>
      <c r="U9" s="0" t="n">
        <v>319.8</v>
      </c>
      <c r="V9" s="0" t="n">
        <v>324.2</v>
      </c>
      <c r="W9" s="0" t="n">
        <v>341.9</v>
      </c>
      <c r="X9" s="6" t="n">
        <f aca="false">AVERAGE(D9:W9)</f>
        <v>325.555</v>
      </c>
      <c r="Y9" s="7" t="n">
        <f aca="false">_xlfn.STDEV.S(D9:W9)</f>
        <v>8.19508678223855</v>
      </c>
      <c r="Z9" s="7" t="n">
        <f aca="false">Y9/X9</f>
        <v>0.0251726644721738</v>
      </c>
    </row>
    <row r="10" customFormat="false" ht="16.75" hidden="false" customHeight="false" outlineLevel="0" collapsed="false">
      <c r="B10" s="4"/>
      <c r="C10" s="5" t="n">
        <v>63</v>
      </c>
      <c r="D10" s="0" t="n">
        <v>322.4</v>
      </c>
      <c r="E10" s="0" t="n">
        <v>319.7</v>
      </c>
      <c r="F10" s="0" t="n">
        <v>308.2</v>
      </c>
      <c r="G10" s="0" t="n">
        <v>322.4</v>
      </c>
      <c r="H10" s="0" t="n">
        <v>337</v>
      </c>
      <c r="I10" s="0" t="n">
        <v>320.4</v>
      </c>
      <c r="J10" s="0" t="n">
        <v>323.4</v>
      </c>
      <c r="K10" s="0" t="n">
        <v>317.5</v>
      </c>
      <c r="L10" s="0" t="n">
        <v>319.7</v>
      </c>
      <c r="M10" s="0" t="n">
        <v>339.6</v>
      </c>
      <c r="N10" s="0" t="n">
        <v>330.8</v>
      </c>
      <c r="O10" s="0" t="n">
        <v>313.7</v>
      </c>
      <c r="P10" s="0" t="n">
        <v>311.5</v>
      </c>
      <c r="Q10" s="0" t="n">
        <v>317</v>
      </c>
      <c r="R10" s="0" t="n">
        <v>346.3</v>
      </c>
      <c r="S10" s="0" t="n">
        <v>317.7</v>
      </c>
      <c r="T10" s="0" t="n">
        <v>319.3</v>
      </c>
      <c r="U10" s="0" t="n">
        <v>310.2</v>
      </c>
      <c r="V10" s="0" t="n">
        <v>323.3</v>
      </c>
      <c r="W10" s="0" t="n">
        <v>322.8</v>
      </c>
      <c r="X10" s="6" t="n">
        <f aca="false">AVERAGE(D10:W10)</f>
        <v>322.145</v>
      </c>
      <c r="Y10" s="7" t="n">
        <f aca="false">_xlfn.STDEV.S(D10:W10)</f>
        <v>9.7329324298595</v>
      </c>
      <c r="Z10" s="7" t="n">
        <f aca="false">Y10/X10</f>
        <v>0.0302128930446212</v>
      </c>
    </row>
    <row r="11" customFormat="false" ht="16.75" hidden="false" customHeight="false" outlineLevel="0" collapsed="false">
      <c r="B11" s="4"/>
      <c r="C11" s="5" t="n">
        <v>93</v>
      </c>
      <c r="D11" s="0" t="n">
        <v>314.9</v>
      </c>
      <c r="E11" s="0" t="n">
        <v>293.6</v>
      </c>
      <c r="F11" s="0" t="n">
        <v>278.9</v>
      </c>
      <c r="G11" s="0" t="n">
        <v>266.2</v>
      </c>
      <c r="H11" s="0" t="n">
        <v>316.4</v>
      </c>
      <c r="I11" s="0" t="n">
        <v>289</v>
      </c>
      <c r="J11" s="0" t="n">
        <v>253.7</v>
      </c>
      <c r="K11" s="0" t="n">
        <v>309.2</v>
      </c>
      <c r="L11" s="0" t="n">
        <v>301</v>
      </c>
      <c r="M11" s="0" t="n">
        <v>313.5</v>
      </c>
      <c r="N11" s="0" t="n">
        <v>300.4</v>
      </c>
      <c r="O11" s="0" t="n">
        <v>298.1</v>
      </c>
      <c r="P11" s="0" t="n">
        <v>258.4</v>
      </c>
      <c r="Q11" s="0" t="n">
        <v>293.7</v>
      </c>
      <c r="R11" s="0" t="n">
        <v>292.3</v>
      </c>
      <c r="S11" s="0" t="n">
        <v>278.9</v>
      </c>
      <c r="T11" s="0" t="n">
        <v>265.5</v>
      </c>
      <c r="U11" s="0" t="n">
        <v>308.8</v>
      </c>
      <c r="V11" s="0" t="n">
        <v>317.4</v>
      </c>
      <c r="W11" s="0" t="n">
        <v>318.5</v>
      </c>
      <c r="X11" s="6" t="n">
        <f aca="false">AVERAGE(D11:W11)</f>
        <v>293.42</v>
      </c>
      <c r="Y11" s="7" t="n">
        <f aca="false">_xlfn.STDEV.S(D11:W11)</f>
        <v>20.4906294373024</v>
      </c>
      <c r="Z11" s="7" t="n">
        <f aca="false">Y11/X11</f>
        <v>0.0698337858268092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283.4</v>
      </c>
      <c r="E12" s="0" t="n">
        <v>290.6</v>
      </c>
      <c r="F12" s="0" t="n">
        <v>298.2</v>
      </c>
      <c r="G12" s="0" t="n">
        <v>283.3</v>
      </c>
      <c r="H12" s="0" t="n">
        <v>294.2</v>
      </c>
      <c r="I12" s="0" t="n">
        <v>288.3</v>
      </c>
      <c r="J12" s="0" t="n">
        <v>274.2</v>
      </c>
      <c r="K12" s="0" t="n">
        <v>298.1</v>
      </c>
      <c r="L12" s="0" t="n">
        <v>274.7</v>
      </c>
      <c r="M12" s="0" t="n">
        <v>279.4</v>
      </c>
      <c r="N12" s="0" t="n">
        <v>292.2</v>
      </c>
      <c r="O12" s="0" t="n">
        <v>295.8</v>
      </c>
      <c r="P12" s="0" t="n">
        <v>278.5</v>
      </c>
      <c r="Q12" s="0" t="n">
        <v>297</v>
      </c>
      <c r="R12" s="0" t="n">
        <v>282.3</v>
      </c>
      <c r="S12" s="0" t="n">
        <v>272.4</v>
      </c>
      <c r="T12" s="0" t="n">
        <v>293.5</v>
      </c>
      <c r="U12" s="0" t="n">
        <v>300.7</v>
      </c>
      <c r="V12" s="0" t="n">
        <v>287.7</v>
      </c>
      <c r="W12" s="0" t="n">
        <v>286.1</v>
      </c>
      <c r="X12" s="6" t="n">
        <f aca="false">AVERAGE(D12:W12)</f>
        <v>287.53</v>
      </c>
      <c r="Y12" s="7" t="n">
        <f aca="false">_xlfn.STDEV.S(D12:W12)</f>
        <v>8.74276242024466</v>
      </c>
      <c r="Z12" s="7" t="n">
        <f aca="false">Y12/X12</f>
        <v>0.0304064355727912</v>
      </c>
    </row>
    <row r="13" customFormat="false" ht="16.75" hidden="false" customHeight="false" outlineLevel="0" collapsed="false">
      <c r="B13" s="4"/>
      <c r="C13" s="5" t="n">
        <v>38</v>
      </c>
      <c r="D13" s="0" t="n">
        <v>309</v>
      </c>
      <c r="E13" s="0" t="n">
        <v>296.9</v>
      </c>
      <c r="F13" s="0" t="n">
        <v>301.9</v>
      </c>
      <c r="G13" s="0" t="n">
        <v>296</v>
      </c>
      <c r="H13" s="0" t="n">
        <v>295.6</v>
      </c>
      <c r="I13" s="0" t="n">
        <v>291.4</v>
      </c>
      <c r="J13" s="0" t="n">
        <v>298.9</v>
      </c>
      <c r="K13" s="0" t="n">
        <v>307.9</v>
      </c>
      <c r="L13" s="0" t="n">
        <v>298.2</v>
      </c>
      <c r="M13" s="0" t="n">
        <v>303.7</v>
      </c>
      <c r="N13" s="0" t="n">
        <v>310.7</v>
      </c>
      <c r="O13" s="0" t="n">
        <v>299.6</v>
      </c>
      <c r="P13" s="0" t="n">
        <v>304.7</v>
      </c>
      <c r="Q13" s="0" t="n">
        <v>296.7</v>
      </c>
      <c r="R13" s="0" t="n">
        <v>296.9</v>
      </c>
      <c r="S13" s="0" t="n">
        <v>300.5</v>
      </c>
      <c r="T13" s="0" t="n">
        <v>305.6</v>
      </c>
      <c r="U13" s="0" t="n">
        <v>295.6</v>
      </c>
      <c r="V13" s="0" t="n">
        <v>304.7</v>
      </c>
      <c r="W13" s="0" t="n">
        <v>295.8</v>
      </c>
      <c r="X13" s="6" t="n">
        <f aca="false">AVERAGE(D13:W13)</f>
        <v>300.515</v>
      </c>
      <c r="Y13" s="7" t="n">
        <f aca="false">_xlfn.STDEV.S(D13:W13)</f>
        <v>5.26520604884957</v>
      </c>
      <c r="Z13" s="7" t="n">
        <f aca="false">Y13/X13</f>
        <v>0.0175206097827049</v>
      </c>
    </row>
    <row r="14" customFormat="false" ht="16.75" hidden="false" customHeight="false" outlineLevel="0" collapsed="false">
      <c r="B14" s="4"/>
      <c r="C14" s="5" t="n">
        <v>50</v>
      </c>
      <c r="D14" s="0" t="n">
        <v>302.6</v>
      </c>
      <c r="E14" s="0" t="n">
        <v>293.5</v>
      </c>
      <c r="F14" s="0" t="n">
        <v>296.2</v>
      </c>
      <c r="G14" s="0" t="n">
        <v>291.3</v>
      </c>
      <c r="H14" s="0" t="n">
        <v>292.6</v>
      </c>
      <c r="I14" s="0" t="n">
        <v>291.9</v>
      </c>
      <c r="J14" s="0" t="n">
        <v>298.2</v>
      </c>
      <c r="K14" s="0" t="n">
        <v>294.6</v>
      </c>
      <c r="L14" s="0" t="n">
        <v>304.2</v>
      </c>
      <c r="M14" s="0" t="n">
        <v>302.9</v>
      </c>
      <c r="N14" s="0" t="n">
        <v>296.8</v>
      </c>
      <c r="O14" s="0" t="n">
        <v>305.5</v>
      </c>
      <c r="P14" s="0" t="n">
        <v>297.7</v>
      </c>
      <c r="Q14" s="0" t="n">
        <v>291.7</v>
      </c>
      <c r="R14" s="0" t="n">
        <v>291.2</v>
      </c>
      <c r="S14" s="0" t="n">
        <v>288.6</v>
      </c>
      <c r="T14" s="0" t="n">
        <v>294.5</v>
      </c>
      <c r="U14" s="0" t="n">
        <v>292.5</v>
      </c>
      <c r="V14" s="0" t="n">
        <v>297.8</v>
      </c>
      <c r="W14" s="0" t="n">
        <v>294.3</v>
      </c>
      <c r="X14" s="6" t="n">
        <f aca="false">AVERAGE(D14:W14)</f>
        <v>295.93</v>
      </c>
      <c r="Y14" s="7" t="n">
        <f aca="false">_xlfn.STDEV.S(D14:W14)</f>
        <v>4.77141709061695</v>
      </c>
      <c r="Z14" s="7" t="n">
        <f aca="false">Y14/X14</f>
        <v>0.0161234653148277</v>
      </c>
    </row>
    <row r="15" customFormat="false" ht="16.75" hidden="false" customHeight="false" outlineLevel="0" collapsed="false">
      <c r="B15" s="4"/>
      <c r="C15" s="5" t="n">
        <v>75</v>
      </c>
      <c r="D15" s="0" t="n">
        <v>269.4</v>
      </c>
      <c r="E15" s="0" t="n">
        <v>274.9</v>
      </c>
      <c r="F15" s="0" t="n">
        <v>276.1</v>
      </c>
      <c r="G15" s="0" t="n">
        <v>258.6</v>
      </c>
      <c r="H15" s="0" t="n">
        <v>282.3</v>
      </c>
      <c r="I15" s="0" t="n">
        <v>266.8</v>
      </c>
      <c r="J15" s="0" t="n">
        <v>281.8</v>
      </c>
      <c r="K15" s="0" t="n">
        <v>282.4</v>
      </c>
      <c r="L15" s="0" t="n">
        <v>295.1</v>
      </c>
      <c r="M15" s="0" t="n">
        <v>286.4</v>
      </c>
      <c r="N15" s="0" t="n">
        <v>291</v>
      </c>
      <c r="O15" s="0" t="n">
        <v>293.2</v>
      </c>
      <c r="P15" s="0" t="n">
        <v>291.2</v>
      </c>
      <c r="Q15" s="0" t="n">
        <v>267</v>
      </c>
      <c r="R15" s="0" t="n">
        <v>272</v>
      </c>
      <c r="S15" s="0" t="n">
        <v>298.5</v>
      </c>
      <c r="T15" s="0" t="n">
        <v>286.7</v>
      </c>
      <c r="U15" s="0" t="n">
        <v>283.1</v>
      </c>
      <c r="V15" s="0" t="n">
        <v>290.7</v>
      </c>
      <c r="W15" s="0" t="n">
        <v>295.7</v>
      </c>
      <c r="X15" s="6" t="n">
        <f aca="false">AVERAGE(D15:W15)</f>
        <v>282.145</v>
      </c>
      <c r="Y15" s="7" t="n">
        <f aca="false">_xlfn.STDEV.S(D15:W15)</f>
        <v>11.2119050918866</v>
      </c>
      <c r="Z15" s="7" t="n">
        <f aca="false">Y15/X15</f>
        <v>0.0397380959857047</v>
      </c>
    </row>
    <row r="16" customFormat="false" ht="16.75" hidden="false" customHeight="false" outlineLevel="0" collapsed="false">
      <c r="B16" s="4"/>
      <c r="C16" s="5" t="n">
        <v>100</v>
      </c>
      <c r="D16" s="0" t="n">
        <v>271.7</v>
      </c>
      <c r="E16" s="0" t="n">
        <v>256.8</v>
      </c>
      <c r="F16" s="0" t="n">
        <v>271.1</v>
      </c>
      <c r="G16" s="0" t="n">
        <v>291.5</v>
      </c>
      <c r="H16" s="0" t="n">
        <v>268.9</v>
      </c>
      <c r="I16" s="0" t="n">
        <v>294.7</v>
      </c>
      <c r="J16" s="0" t="n">
        <v>259.7</v>
      </c>
      <c r="K16" s="0" t="n">
        <v>260.7</v>
      </c>
      <c r="L16" s="0" t="n">
        <v>304.5</v>
      </c>
      <c r="M16" s="0" t="n">
        <v>274.3</v>
      </c>
      <c r="N16" s="0" t="n">
        <v>283</v>
      </c>
      <c r="O16" s="0" t="n">
        <v>306.4</v>
      </c>
      <c r="P16" s="0" t="n">
        <v>240.3</v>
      </c>
      <c r="Q16" s="0" t="n">
        <v>273.8</v>
      </c>
      <c r="R16" s="0" t="n">
        <v>269.6</v>
      </c>
      <c r="S16" s="0" t="n">
        <v>256.8</v>
      </c>
      <c r="T16" s="0" t="n">
        <v>277</v>
      </c>
      <c r="U16" s="0" t="n">
        <v>269.8</v>
      </c>
      <c r="V16" s="0" t="n">
        <v>280.8</v>
      </c>
      <c r="W16" s="0" t="n">
        <v>284.2</v>
      </c>
      <c r="X16" s="6" t="n">
        <f aca="false">AVERAGE(D16:W16)</f>
        <v>274.78</v>
      </c>
      <c r="Y16" s="7" t="n">
        <f aca="false">_xlfn.STDEV.S(D16:W16)</f>
        <v>16.4291973728417</v>
      </c>
      <c r="Z16" s="7" t="n">
        <f aca="false">Y16/X16</f>
        <v>0.0597903681957993</v>
      </c>
    </row>
    <row r="17" customFormat="false" ht="16.75" hidden="false" customHeight="false" outlineLevel="0" collapsed="false">
      <c r="B17" s="4"/>
      <c r="C17" s="5" t="n">
        <v>150</v>
      </c>
      <c r="D17" s="0" t="n">
        <v>277.1</v>
      </c>
      <c r="E17" s="0" t="n">
        <v>240.6</v>
      </c>
      <c r="F17" s="0" t="n">
        <v>262.5</v>
      </c>
      <c r="G17" s="0" t="n">
        <v>279.3</v>
      </c>
      <c r="H17" s="0" t="n">
        <v>297.3</v>
      </c>
      <c r="I17" s="0" t="n">
        <v>278.5</v>
      </c>
      <c r="J17" s="0" t="n">
        <v>241.9</v>
      </c>
      <c r="K17" s="0" t="n">
        <v>262</v>
      </c>
      <c r="L17" s="0" t="n">
        <v>252.2</v>
      </c>
      <c r="M17" s="0" t="n">
        <v>226.1</v>
      </c>
      <c r="N17" s="0" t="n">
        <v>249.4</v>
      </c>
      <c r="O17" s="0" t="n">
        <v>235.7</v>
      </c>
      <c r="P17" s="0" t="n">
        <v>263.4</v>
      </c>
      <c r="Q17" s="0" t="n">
        <v>241.3</v>
      </c>
      <c r="R17" s="0" t="n">
        <v>226.6</v>
      </c>
      <c r="S17" s="0" t="n">
        <v>253.6</v>
      </c>
      <c r="T17" s="0" t="n">
        <v>243.6</v>
      </c>
      <c r="U17" s="0" t="n">
        <v>271.7</v>
      </c>
      <c r="V17" s="0" t="n">
        <v>229.6</v>
      </c>
      <c r="W17" s="0" t="n">
        <v>262.2</v>
      </c>
      <c r="X17" s="6" t="n">
        <f aca="false">AVERAGE(D17:W17)</f>
        <v>254.73</v>
      </c>
      <c r="Y17" s="7" t="n">
        <f aca="false">_xlfn.STDEV.S(D17:W17)</f>
        <v>19.6317707059916</v>
      </c>
      <c r="Z17" s="7" t="n">
        <f aca="false">Y17/X17</f>
        <v>0.0770689385074064</v>
      </c>
    </row>
    <row r="18" customFormat="false" ht="15" hidden="false" customHeight="true" outlineLevel="0" collapsed="false">
      <c r="A18" s="1" t="s">
        <v>39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332.9</v>
      </c>
      <c r="E23" s="0" t="n">
        <v>336.6</v>
      </c>
      <c r="F23" s="0" t="n">
        <v>334.2</v>
      </c>
      <c r="G23" s="0" t="n">
        <v>336.6</v>
      </c>
      <c r="H23" s="0" t="n">
        <v>334.2</v>
      </c>
      <c r="I23" s="0" t="n">
        <v>333.8</v>
      </c>
      <c r="J23" s="0" t="n">
        <v>333.6</v>
      </c>
      <c r="K23" s="0" t="n">
        <v>336.2</v>
      </c>
      <c r="L23" s="0" t="n">
        <v>329.8</v>
      </c>
      <c r="M23" s="0" t="n">
        <v>332.2</v>
      </c>
      <c r="N23" s="0" t="n">
        <v>334</v>
      </c>
      <c r="O23" s="0" t="n">
        <v>334.4</v>
      </c>
      <c r="P23" s="0" t="n">
        <v>339</v>
      </c>
      <c r="Q23" s="0" t="n">
        <v>329.3</v>
      </c>
      <c r="R23" s="0" t="n">
        <v>332.5</v>
      </c>
      <c r="S23" s="0" t="n">
        <v>333.7</v>
      </c>
      <c r="T23" s="0" t="n">
        <v>332.5</v>
      </c>
      <c r="U23" s="0" t="n">
        <v>331.2</v>
      </c>
      <c r="V23" s="0" t="n">
        <v>338.1</v>
      </c>
      <c r="W23" s="0" t="n">
        <v>335</v>
      </c>
      <c r="X23" s="6" t="n">
        <f aca="false">AVERAGE(D23:W23)</f>
        <v>333.99</v>
      </c>
      <c r="Y23" s="7" t="n">
        <f aca="false">_xlfn.STDEV.S(D23:W23)</f>
        <v>2.49439371391126</v>
      </c>
      <c r="Z23" s="7" t="n">
        <f aca="false">Y23/X23</f>
        <v>0.00746846825926304</v>
      </c>
    </row>
    <row r="24" customFormat="false" ht="16.75" hidden="false" customHeight="false" outlineLevel="0" collapsed="false">
      <c r="B24" s="4"/>
      <c r="C24" s="5" t="n">
        <v>25</v>
      </c>
      <c r="D24" s="0" t="n">
        <v>336.3</v>
      </c>
      <c r="E24" s="0" t="n">
        <v>333.8</v>
      </c>
      <c r="F24" s="0" t="n">
        <v>340.8</v>
      </c>
      <c r="G24" s="0" t="n">
        <v>336.3</v>
      </c>
      <c r="H24" s="0" t="n">
        <v>330.3</v>
      </c>
      <c r="I24" s="0" t="n">
        <v>336.7</v>
      </c>
      <c r="J24" s="0" t="n">
        <v>338.7</v>
      </c>
      <c r="K24" s="0" t="n">
        <v>339.2</v>
      </c>
      <c r="L24" s="0" t="n">
        <v>334.3</v>
      </c>
      <c r="M24" s="0" t="n">
        <v>333.9</v>
      </c>
      <c r="N24" s="0" t="n">
        <v>339.9</v>
      </c>
      <c r="O24" s="0" t="n">
        <v>338.1</v>
      </c>
      <c r="P24" s="0" t="n">
        <v>337.5</v>
      </c>
      <c r="Q24" s="0" t="n">
        <v>337.3</v>
      </c>
      <c r="R24" s="0" t="n">
        <v>337</v>
      </c>
      <c r="S24" s="0" t="n">
        <v>333.4</v>
      </c>
      <c r="T24" s="0" t="n">
        <v>335</v>
      </c>
      <c r="U24" s="0" t="n">
        <v>338.8</v>
      </c>
      <c r="V24" s="0" t="n">
        <v>333.9</v>
      </c>
      <c r="W24" s="0" t="n">
        <v>332.3</v>
      </c>
      <c r="X24" s="6" t="n">
        <f aca="false">AVERAGE(D24:W24)</f>
        <v>336.175</v>
      </c>
      <c r="Y24" s="7" t="n">
        <f aca="false">_xlfn.STDEV.S(D24:W24)</f>
        <v>2.74837272428231</v>
      </c>
      <c r="Z24" s="7" t="n">
        <f aca="false">Y24/X24</f>
        <v>0.00817542269437735</v>
      </c>
    </row>
    <row r="25" customFormat="false" ht="16.75" hidden="false" customHeight="false" outlineLevel="0" collapsed="false">
      <c r="B25" s="4"/>
      <c r="C25" s="5" t="n">
        <v>38</v>
      </c>
      <c r="D25" s="0" t="n">
        <v>339.3</v>
      </c>
      <c r="E25" s="0" t="n">
        <v>339.1</v>
      </c>
      <c r="F25" s="0" t="n">
        <v>343</v>
      </c>
      <c r="G25" s="0" t="n">
        <v>334</v>
      </c>
      <c r="H25" s="0" t="n">
        <v>341.2</v>
      </c>
      <c r="I25" s="0" t="n">
        <v>343</v>
      </c>
      <c r="J25" s="0" t="n">
        <v>338.6</v>
      </c>
      <c r="K25" s="0" t="n">
        <v>343.1</v>
      </c>
      <c r="L25" s="0" t="n">
        <v>337.2</v>
      </c>
      <c r="M25" s="0" t="n">
        <v>340.8</v>
      </c>
      <c r="N25" s="0" t="n">
        <v>337.8</v>
      </c>
      <c r="O25" s="0" t="n">
        <v>343.1</v>
      </c>
      <c r="P25" s="0" t="n">
        <v>339.2</v>
      </c>
      <c r="Q25" s="0" t="n">
        <v>340.2</v>
      </c>
      <c r="R25" s="0" t="n">
        <v>339.8</v>
      </c>
      <c r="S25" s="0" t="n">
        <v>339.3</v>
      </c>
      <c r="T25" s="0" t="n">
        <v>339.3</v>
      </c>
      <c r="U25" s="0" t="n">
        <v>337.8</v>
      </c>
      <c r="V25" s="0" t="n">
        <v>337.8</v>
      </c>
      <c r="W25" s="0" t="n">
        <v>340.8</v>
      </c>
      <c r="X25" s="6" t="n">
        <f aca="false">AVERAGE(D25:W25)</f>
        <v>339.72</v>
      </c>
      <c r="Y25" s="7" t="n">
        <f aca="false">_xlfn.STDEV.S(D25:W25)</f>
        <v>2.31348449882764</v>
      </c>
      <c r="Z25" s="7" t="n">
        <f aca="false">Y25/X25</f>
        <v>0.00680997438722373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303.4</v>
      </c>
      <c r="E26" s="0" t="n">
        <v>306</v>
      </c>
      <c r="F26" s="0" t="n">
        <v>305.4</v>
      </c>
      <c r="G26" s="0" t="n">
        <v>298.9</v>
      </c>
      <c r="H26" s="0" t="n">
        <v>301</v>
      </c>
      <c r="I26" s="0" t="n">
        <v>305.1</v>
      </c>
      <c r="J26" s="0" t="n">
        <v>310.1</v>
      </c>
      <c r="K26" s="0" t="n">
        <v>306.9</v>
      </c>
      <c r="L26" s="0" t="n">
        <v>293.5</v>
      </c>
      <c r="M26" s="0" t="n">
        <v>293.8</v>
      </c>
      <c r="N26" s="0" t="n">
        <v>301.3</v>
      </c>
      <c r="O26" s="0" t="n">
        <v>305.6</v>
      </c>
      <c r="P26" s="0" t="n">
        <v>303.8</v>
      </c>
      <c r="Q26" s="0" t="n">
        <v>306.2</v>
      </c>
      <c r="R26" s="0" t="n">
        <v>301</v>
      </c>
      <c r="S26" s="0" t="n">
        <v>304</v>
      </c>
      <c r="T26" s="0" t="n">
        <v>313.6</v>
      </c>
      <c r="U26" s="0" t="n">
        <v>306.6</v>
      </c>
      <c r="V26" s="0" t="n">
        <v>307.1</v>
      </c>
      <c r="W26" s="0" t="n">
        <v>299.2</v>
      </c>
      <c r="X26" s="6" t="n">
        <f aca="false">AVERAGE(D26:W26)</f>
        <v>303.625</v>
      </c>
      <c r="Y26" s="7" t="n">
        <f aca="false">_xlfn.STDEV.S(D26:W26)</f>
        <v>4.89326873851912</v>
      </c>
      <c r="Z26" s="7" t="n">
        <f aca="false">Y26/X26</f>
        <v>0.0161161588753203</v>
      </c>
    </row>
    <row r="27" customFormat="false" ht="16.75" hidden="false" customHeight="false" outlineLevel="0" collapsed="false">
      <c r="B27" s="4"/>
      <c r="C27" s="5" t="n">
        <v>63</v>
      </c>
      <c r="D27" s="9" t="n">
        <v>310.8</v>
      </c>
      <c r="E27" s="9" t="n">
        <v>304.1</v>
      </c>
      <c r="F27" s="9" t="n">
        <v>309.1</v>
      </c>
      <c r="G27" s="9" t="n">
        <v>306.8</v>
      </c>
      <c r="H27" s="9" t="n">
        <v>308.4</v>
      </c>
      <c r="I27" s="9" t="n">
        <v>308</v>
      </c>
      <c r="J27" s="9" t="n">
        <v>310.3</v>
      </c>
      <c r="K27" s="9" t="n">
        <v>297.1</v>
      </c>
      <c r="L27" s="9" t="n">
        <v>308.1</v>
      </c>
      <c r="M27" s="9" t="n">
        <v>308.4</v>
      </c>
      <c r="N27" s="9" t="n">
        <v>307.4</v>
      </c>
      <c r="O27" s="9" t="n">
        <v>310.7</v>
      </c>
      <c r="P27" s="9" t="n">
        <v>303.2</v>
      </c>
      <c r="Q27" s="9" t="n">
        <v>307</v>
      </c>
      <c r="R27" s="9" t="n">
        <v>312.5</v>
      </c>
      <c r="S27" s="9" t="n">
        <v>304.3</v>
      </c>
      <c r="T27" s="9" t="n">
        <v>315.9</v>
      </c>
      <c r="U27" s="9" t="n">
        <v>309</v>
      </c>
      <c r="V27" s="9" t="n">
        <v>315.3</v>
      </c>
      <c r="W27" s="9" t="n">
        <v>310.5</v>
      </c>
      <c r="X27" s="6" t="n">
        <f aca="false">AVERAGE(D27:W27)</f>
        <v>308.345</v>
      </c>
      <c r="Y27" s="7" t="n">
        <f aca="false">_xlfn.STDEV.S(D27:W27)</f>
        <v>4.20732131308971</v>
      </c>
      <c r="Z27" s="7" t="n">
        <f aca="false">Y27/X27</f>
        <v>0.013644850129205</v>
      </c>
    </row>
    <row r="28" customFormat="false" ht="16.75" hidden="false" customHeight="false" outlineLevel="0" collapsed="false">
      <c r="B28" s="4"/>
      <c r="C28" s="5" t="n">
        <v>93</v>
      </c>
      <c r="D28" s="0" t="n">
        <v>313.4</v>
      </c>
      <c r="E28" s="0" t="n">
        <v>317.7</v>
      </c>
      <c r="F28" s="0" t="n">
        <v>316.7</v>
      </c>
      <c r="G28" s="0" t="n">
        <v>317.4</v>
      </c>
      <c r="H28" s="0" t="n">
        <v>318.1</v>
      </c>
      <c r="I28" s="0" t="n">
        <v>319.5</v>
      </c>
      <c r="J28" s="0" t="n">
        <v>339.6</v>
      </c>
      <c r="K28" s="0" t="n">
        <v>321.9</v>
      </c>
      <c r="L28" s="0" t="n">
        <v>321.2</v>
      </c>
      <c r="M28" s="0" t="n">
        <v>311.5</v>
      </c>
      <c r="N28" s="0" t="n">
        <v>317.5</v>
      </c>
      <c r="O28" s="0" t="n">
        <v>317.2</v>
      </c>
      <c r="P28" s="0" t="n">
        <v>314.3</v>
      </c>
      <c r="Q28" s="0" t="n">
        <v>314.8</v>
      </c>
      <c r="R28" s="0" t="n">
        <v>315.4</v>
      </c>
      <c r="S28" s="0" t="n">
        <v>306.2</v>
      </c>
      <c r="T28" s="0" t="n">
        <v>315.3</v>
      </c>
      <c r="U28" s="0" t="n">
        <v>317</v>
      </c>
      <c r="V28" s="0" t="n">
        <v>320.7</v>
      </c>
      <c r="W28" s="0" t="n">
        <v>312.8</v>
      </c>
      <c r="X28" s="6" t="n">
        <f aca="false">AVERAGE(D28:W28)</f>
        <v>317.41</v>
      </c>
      <c r="Y28" s="7" t="n">
        <f aca="false">_xlfn.STDEV.S(D28:W28)</f>
        <v>6.35070654999982</v>
      </c>
      <c r="Z28" s="7" t="n">
        <f aca="false">Y28/X28</f>
        <v>0.0200078968841556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294.6</v>
      </c>
      <c r="E29" s="0" t="n">
        <v>291.7</v>
      </c>
      <c r="F29" s="0" t="n">
        <v>295.1</v>
      </c>
      <c r="G29" s="0" t="n">
        <v>291.5</v>
      </c>
      <c r="H29" s="0" t="n">
        <v>285.1</v>
      </c>
      <c r="I29" s="0" t="n">
        <v>291.6</v>
      </c>
      <c r="J29" s="0" t="n">
        <v>291.8</v>
      </c>
      <c r="K29" s="0" t="n">
        <v>284</v>
      </c>
      <c r="L29" s="0" t="n">
        <v>289.2</v>
      </c>
      <c r="M29" s="0" t="n">
        <v>281.3</v>
      </c>
      <c r="N29" s="0" t="n">
        <v>300.2</v>
      </c>
      <c r="O29" s="0" t="n">
        <v>293.4</v>
      </c>
      <c r="P29" s="0" t="n">
        <v>285.1</v>
      </c>
      <c r="Q29" s="0" t="n">
        <v>278.6</v>
      </c>
      <c r="R29" s="0" t="n">
        <v>285.6</v>
      </c>
      <c r="S29" s="0" t="n">
        <v>291.4</v>
      </c>
      <c r="T29" s="0" t="n">
        <v>292</v>
      </c>
      <c r="U29" s="0" t="n">
        <v>285.9</v>
      </c>
      <c r="V29" s="0" t="n">
        <v>293.3</v>
      </c>
      <c r="W29" s="0" t="n">
        <v>302.7</v>
      </c>
      <c r="X29" s="6" t="n">
        <f aca="false">AVERAGE(D29:W29)</f>
        <v>290.205</v>
      </c>
      <c r="Y29" s="7" t="n">
        <f aca="false">_xlfn.STDEV.S(D29:W29)</f>
        <v>5.97137690196014</v>
      </c>
      <c r="Z29" s="7" t="n">
        <f aca="false">Y29/X29</f>
        <v>0.0205764094414643</v>
      </c>
    </row>
    <row r="30" customFormat="false" ht="16.75" hidden="false" customHeight="false" outlineLevel="0" collapsed="false">
      <c r="B30" s="4"/>
      <c r="C30" s="5" t="n">
        <v>38</v>
      </c>
      <c r="D30" s="0" t="n">
        <v>287.6</v>
      </c>
      <c r="E30" s="0" t="n">
        <v>299.6</v>
      </c>
      <c r="F30" s="0" t="n">
        <v>289.9</v>
      </c>
      <c r="G30" s="0" t="n">
        <v>300.1</v>
      </c>
      <c r="H30" s="0" t="n">
        <v>287.6</v>
      </c>
      <c r="I30" s="0" t="n">
        <v>293.2</v>
      </c>
      <c r="J30" s="0" t="n">
        <v>295.1</v>
      </c>
      <c r="K30" s="0" t="n">
        <v>291.2</v>
      </c>
      <c r="L30" s="0" t="n">
        <v>294.7</v>
      </c>
      <c r="M30" s="0" t="n">
        <v>284.1</v>
      </c>
      <c r="N30" s="0" t="n">
        <v>302.1</v>
      </c>
      <c r="O30" s="0" t="n">
        <v>282.7</v>
      </c>
      <c r="P30" s="0" t="n">
        <v>300.9</v>
      </c>
      <c r="Q30" s="0" t="n">
        <v>296.7</v>
      </c>
      <c r="R30" s="0" t="n">
        <v>284.9</v>
      </c>
      <c r="S30" s="0" t="n">
        <v>296.1</v>
      </c>
      <c r="T30" s="0" t="n">
        <v>300.5</v>
      </c>
      <c r="U30" s="0" t="n">
        <v>297.5</v>
      </c>
      <c r="V30" s="0" t="n">
        <v>294.2</v>
      </c>
      <c r="W30" s="0" t="n">
        <v>293.7</v>
      </c>
      <c r="X30" s="6" t="n">
        <f aca="false">AVERAGE(D30:W30)</f>
        <v>293.62</v>
      </c>
      <c r="Y30" s="7" t="n">
        <f aca="false">_xlfn.STDEV.S(D30:W30)</f>
        <v>5.90562622019305</v>
      </c>
      <c r="Z30" s="7" t="n">
        <f aca="false">Y30/X30</f>
        <v>0.0201131606164193</v>
      </c>
    </row>
    <row r="31" customFormat="false" ht="16.75" hidden="false" customHeight="false" outlineLevel="0" collapsed="false">
      <c r="B31" s="4"/>
      <c r="C31" s="5" t="n">
        <v>50</v>
      </c>
      <c r="D31" s="0" t="n">
        <v>301.2</v>
      </c>
      <c r="E31" s="0" t="n">
        <v>298.1</v>
      </c>
      <c r="F31" s="0" t="n">
        <v>306.4</v>
      </c>
      <c r="G31" s="0" t="n">
        <v>296.4</v>
      </c>
      <c r="H31" s="0" t="n">
        <v>300.5</v>
      </c>
      <c r="I31" s="0" t="n">
        <v>295.5</v>
      </c>
      <c r="J31" s="0" t="n">
        <v>293</v>
      </c>
      <c r="K31" s="0" t="n">
        <v>294.1</v>
      </c>
      <c r="L31" s="0" t="n">
        <v>290.5</v>
      </c>
      <c r="M31" s="0" t="n">
        <v>307.7</v>
      </c>
      <c r="N31" s="0" t="n">
        <v>302.4</v>
      </c>
      <c r="O31" s="0" t="n">
        <v>299.8</v>
      </c>
      <c r="P31" s="0" t="n">
        <v>294.6</v>
      </c>
      <c r="Q31" s="0" t="n">
        <v>298.9</v>
      </c>
      <c r="R31" s="0" t="n">
        <v>300.6</v>
      </c>
      <c r="S31" s="0" t="n">
        <v>293.1</v>
      </c>
      <c r="T31" s="0" t="n">
        <v>290.6</v>
      </c>
      <c r="U31" s="0" t="n">
        <v>299.3</v>
      </c>
      <c r="V31" s="0" t="n">
        <v>298.7</v>
      </c>
      <c r="W31" s="0" t="n">
        <v>305.1</v>
      </c>
      <c r="X31" s="6" t="n">
        <f aca="false">AVERAGE(D31:W31)</f>
        <v>298.325</v>
      </c>
      <c r="Y31" s="7" t="n">
        <f aca="false">_xlfn.STDEV.S(D31:W31)</f>
        <v>4.90648067677627</v>
      </c>
      <c r="Z31" s="7" t="n">
        <f aca="false">Y31/X31</f>
        <v>0.016446763351299</v>
      </c>
    </row>
    <row r="32" customFormat="false" ht="16.75" hidden="false" customHeight="false" outlineLevel="0" collapsed="false">
      <c r="B32" s="4"/>
      <c r="C32" s="5" t="n">
        <v>75</v>
      </c>
      <c r="D32" s="0" t="n">
        <v>300</v>
      </c>
      <c r="E32" s="0" t="n">
        <v>294.7</v>
      </c>
      <c r="F32" s="0" t="n">
        <v>298</v>
      </c>
      <c r="G32" s="0" t="n">
        <v>296.4</v>
      </c>
      <c r="H32" s="0" t="n">
        <v>302.6</v>
      </c>
      <c r="I32" s="0" t="n">
        <v>299.3</v>
      </c>
      <c r="J32" s="0" t="n">
        <v>304.5</v>
      </c>
      <c r="K32" s="0" t="n">
        <v>306.9</v>
      </c>
      <c r="L32" s="0" t="n">
        <v>304.8</v>
      </c>
      <c r="M32" s="0" t="n">
        <v>293.3</v>
      </c>
      <c r="N32" s="0" t="n">
        <v>296.5</v>
      </c>
      <c r="O32" s="0" t="n">
        <v>299.6</v>
      </c>
      <c r="P32" s="0" t="n">
        <v>300</v>
      </c>
      <c r="Q32" s="0" t="n">
        <v>301.9</v>
      </c>
      <c r="R32" s="0" t="n">
        <v>303.3</v>
      </c>
      <c r="S32" s="0" t="n">
        <v>290.7</v>
      </c>
      <c r="T32" s="0" t="n">
        <v>304.6</v>
      </c>
      <c r="U32" s="0" t="n">
        <v>289.9</v>
      </c>
      <c r="V32" s="0" t="n">
        <v>301.3</v>
      </c>
      <c r="W32" s="0" t="n">
        <v>301</v>
      </c>
      <c r="X32" s="6" t="n">
        <f aca="false">AVERAGE(D32:W32)</f>
        <v>299.465</v>
      </c>
      <c r="Y32" s="7" t="n">
        <f aca="false">_xlfn.STDEV.S(D32:W32)</f>
        <v>4.71071287487082</v>
      </c>
      <c r="Z32" s="7" t="n">
        <f aca="false">Y32/X32</f>
        <v>0.0157304288476811</v>
      </c>
    </row>
    <row r="33" customFormat="false" ht="16.75" hidden="false" customHeight="false" outlineLevel="0" collapsed="false">
      <c r="B33" s="4"/>
      <c r="C33" s="5" t="n">
        <v>100</v>
      </c>
      <c r="D33" s="0" t="n">
        <v>282</v>
      </c>
      <c r="E33" s="0" t="n">
        <v>279.6</v>
      </c>
      <c r="F33" s="0" t="n">
        <v>282</v>
      </c>
      <c r="G33" s="0" t="n">
        <v>280.5</v>
      </c>
      <c r="H33" s="0" t="n">
        <v>282.9</v>
      </c>
      <c r="I33" s="0" t="n">
        <v>289.3</v>
      </c>
      <c r="J33" s="0" t="n">
        <v>294</v>
      </c>
      <c r="K33" s="0" t="n">
        <v>295.6</v>
      </c>
      <c r="L33" s="0" t="n">
        <v>299.5</v>
      </c>
      <c r="M33" s="0" t="n">
        <v>288.5</v>
      </c>
      <c r="N33" s="0" t="n">
        <v>269.7</v>
      </c>
      <c r="O33" s="0" t="n">
        <v>289.4</v>
      </c>
      <c r="P33" s="0" t="n">
        <v>279.8</v>
      </c>
      <c r="Q33" s="0" t="n">
        <v>271.8</v>
      </c>
      <c r="R33" s="0" t="n">
        <v>289.9</v>
      </c>
      <c r="S33" s="0" t="n">
        <v>287.6</v>
      </c>
      <c r="T33" s="0" t="n">
        <v>295.3</v>
      </c>
      <c r="U33" s="0" t="n">
        <v>286.5</v>
      </c>
      <c r="V33" s="0" t="n">
        <v>279.5</v>
      </c>
      <c r="W33" s="0" t="n">
        <v>279.9</v>
      </c>
      <c r="X33" s="6" t="n">
        <f aca="false">AVERAGE(D33:W33)</f>
        <v>285.165</v>
      </c>
      <c r="Y33" s="7" t="n">
        <f aca="false">_xlfn.STDEV.S(D33:W33)</f>
        <v>7.7992087992781</v>
      </c>
      <c r="Z33" s="7" t="n">
        <f aca="false">Y33/X33</f>
        <v>0.0273498108087532</v>
      </c>
    </row>
    <row r="34" customFormat="false" ht="16.75" hidden="false" customHeight="false" outlineLevel="0" collapsed="false">
      <c r="B34" s="4"/>
      <c r="C34" s="5" t="n">
        <v>150</v>
      </c>
      <c r="D34" s="0" t="n">
        <v>307.1</v>
      </c>
      <c r="E34" s="0" t="n">
        <v>299.1</v>
      </c>
      <c r="F34" s="0" t="n">
        <v>311</v>
      </c>
      <c r="G34" s="0" t="n">
        <v>285</v>
      </c>
      <c r="H34" s="0" t="n">
        <v>302.7</v>
      </c>
      <c r="I34" s="0" t="n">
        <v>270.4</v>
      </c>
      <c r="J34" s="0" t="n">
        <v>289.5</v>
      </c>
      <c r="K34" s="0" t="n">
        <v>301.6</v>
      </c>
      <c r="L34" s="0" t="n">
        <v>310.2</v>
      </c>
      <c r="M34" s="0" t="n">
        <v>295.7</v>
      </c>
      <c r="N34" s="0" t="n">
        <v>268.3</v>
      </c>
      <c r="O34" s="0" t="n">
        <v>310.6</v>
      </c>
      <c r="P34" s="0" t="n">
        <v>310.9</v>
      </c>
      <c r="Q34" s="0" t="n">
        <v>287.5</v>
      </c>
      <c r="R34" s="0" t="n">
        <v>305.9</v>
      </c>
      <c r="S34" s="0" t="n">
        <v>268.5</v>
      </c>
      <c r="T34" s="0" t="n">
        <v>266.5</v>
      </c>
      <c r="U34" s="0" t="n">
        <v>300.9</v>
      </c>
      <c r="V34" s="0" t="n">
        <v>287.7</v>
      </c>
      <c r="W34" s="0" t="n">
        <v>283.4</v>
      </c>
      <c r="X34" s="6" t="n">
        <f aca="false">AVERAGE(D34:W34)</f>
        <v>293.125</v>
      </c>
      <c r="Y34" s="7" t="n">
        <f aca="false">_xlfn.STDEV.S(D34:W34)</f>
        <v>15.4578842087307</v>
      </c>
      <c r="Z34" s="7" t="n">
        <f aca="false">Y34/X34</f>
        <v>0.0527347862131538</v>
      </c>
    </row>
    <row r="35" customFormat="false" ht="15" hidden="false" customHeight="true" outlineLevel="0" collapsed="false">
      <c r="A35" s="1" t="s">
        <v>39</v>
      </c>
      <c r="B35" s="1"/>
      <c r="C35" s="1"/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345.2</v>
      </c>
      <c r="E40" s="0" t="n">
        <v>339.4</v>
      </c>
      <c r="F40" s="0" t="n">
        <v>343.1</v>
      </c>
      <c r="G40" s="0" t="n">
        <v>341.2</v>
      </c>
      <c r="H40" s="0" t="n">
        <v>343.8</v>
      </c>
      <c r="I40" s="0" t="n">
        <v>341.8</v>
      </c>
      <c r="J40" s="0" t="n">
        <v>340.9</v>
      </c>
      <c r="K40" s="0" t="n">
        <v>346.7</v>
      </c>
      <c r="L40" s="0" t="n">
        <v>345.2</v>
      </c>
      <c r="M40" s="0" t="n">
        <v>342.1</v>
      </c>
      <c r="N40" s="0" t="n">
        <v>345.3</v>
      </c>
      <c r="O40" s="0" t="n">
        <v>337.9</v>
      </c>
      <c r="P40" s="0" t="n">
        <v>341.9</v>
      </c>
      <c r="Q40" s="0" t="n">
        <v>343.7</v>
      </c>
      <c r="R40" s="0" t="n">
        <v>343.6</v>
      </c>
      <c r="S40" s="0" t="n">
        <v>341.8</v>
      </c>
      <c r="T40" s="0" t="n">
        <v>343.7</v>
      </c>
      <c r="U40" s="0" t="n">
        <v>342.3</v>
      </c>
      <c r="V40" s="0" t="n">
        <v>341.5</v>
      </c>
      <c r="W40" s="0" t="n">
        <v>343.6</v>
      </c>
      <c r="X40" s="6" t="n">
        <f aca="false">AVERAGE(D40:W40)</f>
        <v>342.735</v>
      </c>
      <c r="Y40" s="7" t="n">
        <f aca="false">_xlfn.STDEV.S(D40:W40)</f>
        <v>2.10094590225702</v>
      </c>
      <c r="Z40" s="7" t="n">
        <f aca="false">Y40/X40</f>
        <v>0.00612994267366046</v>
      </c>
    </row>
    <row r="41" customFormat="false" ht="16.75" hidden="false" customHeight="false" outlineLevel="0" collapsed="false">
      <c r="B41" s="4"/>
      <c r="C41" s="5" t="n">
        <v>25</v>
      </c>
      <c r="D41" s="0" t="n">
        <v>342.7</v>
      </c>
      <c r="E41" s="0" t="n">
        <v>343.3</v>
      </c>
      <c r="F41" s="0" t="n">
        <v>344.7</v>
      </c>
      <c r="G41" s="0" t="n">
        <v>343.9</v>
      </c>
      <c r="H41" s="0" t="n">
        <v>341.8</v>
      </c>
      <c r="I41" s="0" t="n">
        <v>344.7</v>
      </c>
      <c r="J41" s="0" t="n">
        <v>349.2</v>
      </c>
      <c r="K41" s="0" t="n">
        <v>339.2</v>
      </c>
      <c r="L41" s="0" t="n">
        <v>340.2</v>
      </c>
      <c r="M41" s="0" t="n">
        <v>344.3</v>
      </c>
      <c r="N41" s="0" t="n">
        <v>344.1</v>
      </c>
      <c r="O41" s="0" t="n">
        <v>344.3</v>
      </c>
      <c r="P41" s="0" t="n">
        <v>342.3</v>
      </c>
      <c r="Q41" s="0" t="n">
        <v>342.6</v>
      </c>
      <c r="R41" s="0" t="n">
        <v>342.2</v>
      </c>
      <c r="S41" s="0" t="n">
        <v>340.4</v>
      </c>
      <c r="T41" s="0" t="n">
        <v>343.1</v>
      </c>
      <c r="U41" s="0" t="n">
        <v>344.1</v>
      </c>
      <c r="V41" s="0" t="n">
        <v>347.6</v>
      </c>
      <c r="W41" s="0" t="n">
        <v>343.9</v>
      </c>
      <c r="X41" s="6" t="n">
        <f aca="false">AVERAGE(D41:W41)</f>
        <v>343.43</v>
      </c>
      <c r="Y41" s="7" t="n">
        <f aca="false">_xlfn.STDEV.S(D41:W41)</f>
        <v>2.30630714163985</v>
      </c>
      <c r="Z41" s="7" t="n">
        <f aca="false">Y41/X41</f>
        <v>0.00671550866738447</v>
      </c>
    </row>
    <row r="42" customFormat="false" ht="16.75" hidden="false" customHeight="false" outlineLevel="0" collapsed="false">
      <c r="B42" s="4"/>
      <c r="C42" s="5" t="n">
        <v>38</v>
      </c>
      <c r="D42" s="0" t="n">
        <v>340.4</v>
      </c>
      <c r="E42" s="0" t="n">
        <v>340.6</v>
      </c>
      <c r="F42" s="0" t="n">
        <v>336.9</v>
      </c>
      <c r="G42" s="0" t="n">
        <v>345.1</v>
      </c>
      <c r="H42" s="0" t="n">
        <v>340.6</v>
      </c>
      <c r="I42" s="0" t="n">
        <v>342.1</v>
      </c>
      <c r="J42" s="0" t="n">
        <v>339.2</v>
      </c>
      <c r="K42" s="0" t="n">
        <v>340</v>
      </c>
      <c r="L42" s="0" t="n">
        <v>338.5</v>
      </c>
      <c r="M42" s="0" t="n">
        <v>337.4</v>
      </c>
      <c r="N42" s="0" t="n">
        <v>341.8</v>
      </c>
      <c r="O42" s="0" t="n">
        <v>338.9</v>
      </c>
      <c r="P42" s="0" t="n">
        <v>344.8</v>
      </c>
      <c r="Q42" s="0" t="n">
        <v>338.7</v>
      </c>
      <c r="R42" s="0" t="n">
        <v>339.8</v>
      </c>
      <c r="S42" s="0" t="n">
        <v>340.7</v>
      </c>
      <c r="T42" s="0" t="n">
        <v>342.4</v>
      </c>
      <c r="U42" s="0" t="n">
        <v>344</v>
      </c>
      <c r="V42" s="0" t="n">
        <v>340</v>
      </c>
      <c r="W42" s="0" t="n">
        <v>341.3</v>
      </c>
      <c r="X42" s="6" t="n">
        <f aca="false">AVERAGE(D42:W42)</f>
        <v>340.66</v>
      </c>
      <c r="Y42" s="7" t="n">
        <f aca="false">_xlfn.STDEV.S(D42:W42)</f>
        <v>2.2361621257484</v>
      </c>
      <c r="Z42" s="7" t="n">
        <f aca="false">Y42/X42</f>
        <v>0.00656420514809019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312</v>
      </c>
      <c r="E43" s="0" t="n">
        <v>319.5</v>
      </c>
      <c r="F43" s="0" t="n">
        <v>315.3</v>
      </c>
      <c r="G43" s="0" t="n">
        <v>316.2</v>
      </c>
      <c r="H43" s="0" t="n">
        <v>313.8</v>
      </c>
      <c r="I43" s="0" t="n">
        <v>320.7</v>
      </c>
      <c r="J43" s="0" t="n">
        <v>318.3</v>
      </c>
      <c r="K43" s="0" t="n">
        <v>316.1</v>
      </c>
      <c r="L43" s="0" t="n">
        <v>313.2</v>
      </c>
      <c r="M43" s="0" t="n">
        <v>321.5</v>
      </c>
      <c r="N43" s="0" t="n">
        <v>316.3</v>
      </c>
      <c r="O43" s="0" t="n">
        <v>319.5</v>
      </c>
      <c r="P43" s="0" t="n">
        <v>311.1</v>
      </c>
      <c r="Q43" s="0" t="n">
        <v>319</v>
      </c>
      <c r="R43" s="0" t="n">
        <v>317.9</v>
      </c>
      <c r="S43" s="0" t="n">
        <v>318.3</v>
      </c>
      <c r="T43" s="0" t="n">
        <v>314.8</v>
      </c>
      <c r="U43" s="0" t="n">
        <v>315.9</v>
      </c>
      <c r="V43" s="0" t="n">
        <v>314.4</v>
      </c>
      <c r="W43" s="0" t="n">
        <v>311.9</v>
      </c>
      <c r="X43" s="6" t="n">
        <f aca="false">AVERAGE(D43:W43)</f>
        <v>316.285</v>
      </c>
      <c r="Y43" s="7" t="n">
        <f aca="false">_xlfn.STDEV.S(D43:W43)</f>
        <v>3.01352652307279</v>
      </c>
      <c r="Z43" s="7" t="n">
        <f aca="false">Y43/X43</f>
        <v>0.00952788315308278</v>
      </c>
    </row>
    <row r="44" customFormat="false" ht="16.75" hidden="false" customHeight="false" outlineLevel="0" collapsed="false">
      <c r="B44" s="4"/>
      <c r="C44" s="5" t="n">
        <v>63</v>
      </c>
      <c r="D44" s="0" t="n">
        <v>326.8</v>
      </c>
      <c r="E44" s="0" t="n">
        <v>324.1</v>
      </c>
      <c r="F44" s="0" t="n">
        <v>312.7</v>
      </c>
      <c r="G44" s="0" t="n">
        <v>319.3</v>
      </c>
      <c r="H44" s="0" t="n">
        <v>321.7</v>
      </c>
      <c r="I44" s="0" t="n">
        <v>330.9</v>
      </c>
      <c r="J44" s="0" t="n">
        <v>323.2</v>
      </c>
      <c r="K44" s="0" t="n">
        <v>320.2</v>
      </c>
      <c r="L44" s="0" t="n">
        <v>330.6</v>
      </c>
      <c r="M44" s="0" t="n">
        <v>325.4</v>
      </c>
      <c r="N44" s="0" t="n">
        <v>310.6</v>
      </c>
      <c r="O44" s="0" t="n">
        <v>323.4</v>
      </c>
      <c r="P44" s="0" t="n">
        <v>307.3</v>
      </c>
      <c r="Q44" s="0" t="n">
        <v>322.1</v>
      </c>
      <c r="R44" s="0" t="n">
        <v>317.6</v>
      </c>
      <c r="S44" s="0" t="n">
        <v>318.7</v>
      </c>
      <c r="T44" s="0" t="n">
        <v>306.1</v>
      </c>
      <c r="U44" s="0" t="n">
        <v>313.3</v>
      </c>
      <c r="V44" s="0" t="n">
        <v>304.9</v>
      </c>
      <c r="W44" s="0" t="n">
        <v>315.1</v>
      </c>
      <c r="X44" s="6" t="n">
        <f aca="false">AVERAGE(D44:W44)</f>
        <v>318.7</v>
      </c>
      <c r="Y44" s="7" t="n">
        <f aca="false">_xlfn.STDEV.S(D44:W44)</f>
        <v>7.67675918463953</v>
      </c>
      <c r="Z44" s="7" t="n">
        <f aca="false">Y44/X44</f>
        <v>0.0240877288504535</v>
      </c>
    </row>
    <row r="45" customFormat="false" ht="16.75" hidden="false" customHeight="false" outlineLevel="0" collapsed="false">
      <c r="B45" s="4"/>
      <c r="C45" s="5" t="n">
        <v>93</v>
      </c>
      <c r="D45" s="0" t="n">
        <v>327.6</v>
      </c>
      <c r="E45" s="0" t="n">
        <v>320.2</v>
      </c>
      <c r="F45" s="0" t="n">
        <v>320.8</v>
      </c>
      <c r="G45" s="0" t="n">
        <v>318.8</v>
      </c>
      <c r="H45" s="0" t="n">
        <v>318.5</v>
      </c>
      <c r="I45" s="0" t="n">
        <v>323</v>
      </c>
      <c r="J45" s="0" t="n">
        <v>325.7</v>
      </c>
      <c r="K45" s="0" t="n">
        <v>316.5</v>
      </c>
      <c r="L45" s="0" t="n">
        <v>328.8</v>
      </c>
      <c r="M45" s="0" t="n">
        <v>324.9</v>
      </c>
      <c r="N45" s="0" t="n">
        <v>316.8</v>
      </c>
      <c r="O45" s="0" t="n">
        <v>319.5</v>
      </c>
      <c r="P45" s="0" t="n">
        <v>325</v>
      </c>
      <c r="Q45" s="0" t="n">
        <v>328.5</v>
      </c>
      <c r="R45" s="0" t="n">
        <v>328.1</v>
      </c>
      <c r="S45" s="0" t="n">
        <v>322.6</v>
      </c>
      <c r="T45" s="0" t="n">
        <v>326.1</v>
      </c>
      <c r="U45" s="0" t="n">
        <v>328.7</v>
      </c>
      <c r="V45" s="0" t="n">
        <v>315.4</v>
      </c>
      <c r="W45" s="0" t="n">
        <v>313.7</v>
      </c>
      <c r="X45" s="6" t="n">
        <f aca="false">AVERAGE(D45:W45)</f>
        <v>322.46</v>
      </c>
      <c r="Y45" s="7" t="n">
        <f aca="false">_xlfn.STDEV.S(D45:W45)</f>
        <v>4.86744286047613</v>
      </c>
      <c r="Z45" s="7" t="n">
        <f aca="false">Y45/X45</f>
        <v>0.0150947182921173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295</v>
      </c>
      <c r="E46" s="0" t="n">
        <v>293.7</v>
      </c>
      <c r="F46" s="0" t="n">
        <v>300.9</v>
      </c>
      <c r="G46" s="0" t="n">
        <v>293.3</v>
      </c>
      <c r="H46" s="0" t="n">
        <v>294</v>
      </c>
      <c r="I46" s="0" t="n">
        <v>293.6</v>
      </c>
      <c r="J46" s="0" t="n">
        <v>300.3</v>
      </c>
      <c r="K46" s="0" t="n">
        <v>293.8</v>
      </c>
      <c r="L46" s="0" t="n">
        <v>296.6</v>
      </c>
      <c r="M46" s="0" t="n">
        <v>297.6</v>
      </c>
      <c r="N46" s="0" t="n">
        <v>299</v>
      </c>
      <c r="O46" s="0" t="n">
        <v>295.8</v>
      </c>
      <c r="P46" s="0" t="n">
        <v>296.7</v>
      </c>
      <c r="Q46" s="0" t="n">
        <v>296.9</v>
      </c>
      <c r="R46" s="0" t="n">
        <v>295.9</v>
      </c>
      <c r="S46" s="0" t="n">
        <v>298.8</v>
      </c>
      <c r="T46" s="0" t="n">
        <v>296.6</v>
      </c>
      <c r="U46" s="0" t="n">
        <v>290.7</v>
      </c>
      <c r="V46" s="0" t="n">
        <v>298.1</v>
      </c>
      <c r="W46" s="0" t="n">
        <v>296.9</v>
      </c>
      <c r="X46" s="6" t="n">
        <f aca="false">AVERAGE(D46:W46)</f>
        <v>296.21</v>
      </c>
      <c r="Y46" s="7" t="n">
        <f aca="false">_xlfn.STDEV.S(D46:W46)</f>
        <v>2.56061259117916</v>
      </c>
      <c r="Z46" s="7" t="n">
        <f aca="false">Y46/X46</f>
        <v>0.00864458523067811</v>
      </c>
    </row>
    <row r="47" customFormat="false" ht="16.75" hidden="false" customHeight="false" outlineLevel="0" collapsed="false">
      <c r="B47" s="4"/>
      <c r="C47" s="5" t="n">
        <v>38</v>
      </c>
      <c r="D47" s="0" t="n">
        <v>305.8</v>
      </c>
      <c r="E47" s="0" t="n">
        <v>298.1</v>
      </c>
      <c r="F47" s="0" t="n">
        <v>308.3</v>
      </c>
      <c r="G47" s="0" t="n">
        <v>300</v>
      </c>
      <c r="H47" s="0" t="n">
        <v>302.4</v>
      </c>
      <c r="I47" s="0" t="n">
        <v>305.7</v>
      </c>
      <c r="J47" s="0" t="n">
        <v>307</v>
      </c>
      <c r="K47" s="0" t="n">
        <v>304.7</v>
      </c>
      <c r="L47" s="0" t="n">
        <v>298.2</v>
      </c>
      <c r="M47" s="0" t="n">
        <v>300.9</v>
      </c>
      <c r="N47" s="0" t="n">
        <v>301.9</v>
      </c>
      <c r="O47" s="0" t="n">
        <v>302.5</v>
      </c>
      <c r="P47" s="0" t="n">
        <v>306.7</v>
      </c>
      <c r="Q47" s="0" t="n">
        <v>301.4</v>
      </c>
      <c r="R47" s="0" t="n">
        <v>304.1</v>
      </c>
      <c r="S47" s="0" t="n">
        <v>306.3</v>
      </c>
      <c r="T47" s="0" t="n">
        <v>303.5</v>
      </c>
      <c r="U47" s="0" t="n">
        <v>307.8</v>
      </c>
      <c r="V47" s="0" t="n">
        <v>302.5</v>
      </c>
      <c r="W47" s="0" t="n">
        <v>300.5</v>
      </c>
      <c r="X47" s="6" t="n">
        <f aca="false">AVERAGE(D47:W47)</f>
        <v>303.415</v>
      </c>
      <c r="Y47" s="7" t="n">
        <f aca="false">_xlfn.STDEV.S(D47:W47)</f>
        <v>3.07010628994811</v>
      </c>
      <c r="Z47" s="7" t="n">
        <f aca="false">Y47/X47</f>
        <v>0.0101185053143322</v>
      </c>
    </row>
    <row r="48" customFormat="false" ht="16.75" hidden="false" customHeight="false" outlineLevel="0" collapsed="false">
      <c r="B48" s="4"/>
      <c r="C48" s="5" t="n">
        <v>50</v>
      </c>
      <c r="D48" s="0" t="n">
        <v>296</v>
      </c>
      <c r="E48" s="0" t="n">
        <v>299.2</v>
      </c>
      <c r="F48" s="0" t="n">
        <v>300.4</v>
      </c>
      <c r="G48" s="0" t="n">
        <v>302.5</v>
      </c>
      <c r="H48" s="0" t="n">
        <v>296.9</v>
      </c>
      <c r="I48" s="0" t="n">
        <v>295</v>
      </c>
      <c r="J48" s="0" t="n">
        <v>304.4</v>
      </c>
      <c r="K48" s="0" t="n">
        <v>303.4</v>
      </c>
      <c r="L48" s="0" t="n">
        <v>298.5</v>
      </c>
      <c r="M48" s="0" t="n">
        <v>299.3</v>
      </c>
      <c r="N48" s="0" t="n">
        <v>294.2</v>
      </c>
      <c r="O48" s="0" t="n">
        <v>305</v>
      </c>
      <c r="P48" s="0" t="n">
        <v>297.3</v>
      </c>
      <c r="Q48" s="0" t="n">
        <v>296.5</v>
      </c>
      <c r="R48" s="0" t="n">
        <v>310.2</v>
      </c>
      <c r="S48" s="0" t="n">
        <v>298.2</v>
      </c>
      <c r="T48" s="0" t="n">
        <v>301.5</v>
      </c>
      <c r="U48" s="0" t="n">
        <v>301.1</v>
      </c>
      <c r="V48" s="0" t="n">
        <v>301.8</v>
      </c>
      <c r="W48" s="0" t="n">
        <v>306.2</v>
      </c>
      <c r="X48" s="6" t="n">
        <f aca="false">AVERAGE(D48:W48)</f>
        <v>300.38</v>
      </c>
      <c r="Y48" s="7" t="n">
        <f aca="false">_xlfn.STDEV.S(D48:W48)</f>
        <v>4.09770153802553</v>
      </c>
      <c r="Z48" s="7" t="n">
        <f aca="false">Y48/X48</f>
        <v>0.0136417256076488</v>
      </c>
    </row>
    <row r="49" customFormat="false" ht="16.75" hidden="false" customHeight="false" outlineLevel="0" collapsed="false">
      <c r="B49" s="4"/>
      <c r="C49" s="5" t="n">
        <v>75</v>
      </c>
      <c r="D49" s="0" t="n">
        <v>289.7</v>
      </c>
      <c r="E49" s="0" t="n">
        <v>288.3</v>
      </c>
      <c r="F49" s="0" t="n">
        <v>285.9</v>
      </c>
      <c r="G49" s="0" t="n">
        <v>287.3</v>
      </c>
      <c r="H49" s="0" t="n">
        <v>279.9</v>
      </c>
      <c r="I49" s="0" t="n">
        <v>280.5</v>
      </c>
      <c r="J49" s="0" t="n">
        <v>284.5</v>
      </c>
      <c r="K49" s="0" t="n">
        <v>275.6</v>
      </c>
      <c r="L49" s="0" t="n">
        <v>281.3</v>
      </c>
      <c r="M49" s="0" t="n">
        <v>282.6</v>
      </c>
      <c r="N49" s="0" t="n">
        <v>283.2</v>
      </c>
      <c r="O49" s="0" t="n">
        <v>280.4</v>
      </c>
      <c r="P49" s="0" t="n">
        <v>291.8</v>
      </c>
      <c r="Q49" s="0" t="n">
        <v>290.7</v>
      </c>
      <c r="R49" s="0" t="n">
        <v>280.7</v>
      </c>
      <c r="S49" s="0" t="n">
        <v>287.6</v>
      </c>
      <c r="T49" s="0" t="n">
        <v>278.6</v>
      </c>
      <c r="U49" s="0" t="n">
        <v>271</v>
      </c>
      <c r="V49" s="0" t="n">
        <v>287.6</v>
      </c>
      <c r="W49" s="0" t="n">
        <v>287.2</v>
      </c>
      <c r="X49" s="6" t="n">
        <f aca="false">AVERAGE(D49:W49)</f>
        <v>283.72</v>
      </c>
      <c r="Y49" s="7" t="n">
        <f aca="false">_xlfn.STDEV.S(D49:W49)</f>
        <v>5.31914120492159</v>
      </c>
      <c r="Z49" s="7" t="n">
        <f aca="false">Y49/X49</f>
        <v>0.0187478542398195</v>
      </c>
    </row>
    <row r="50" customFormat="false" ht="16.75" hidden="false" customHeight="false" outlineLevel="0" collapsed="false">
      <c r="B50" s="4"/>
      <c r="C50" s="5" t="n">
        <v>100</v>
      </c>
      <c r="D50" s="0" t="n">
        <v>274.6</v>
      </c>
      <c r="E50" s="0" t="n">
        <v>292.4</v>
      </c>
      <c r="F50" s="0" t="n">
        <v>282.2</v>
      </c>
      <c r="G50" s="0" t="n">
        <v>290.3</v>
      </c>
      <c r="H50" s="0" t="n">
        <v>274.1</v>
      </c>
      <c r="I50" s="0" t="n">
        <v>303</v>
      </c>
      <c r="J50" s="0" t="n">
        <v>287.5</v>
      </c>
      <c r="K50" s="0" t="n">
        <v>274.1</v>
      </c>
      <c r="L50" s="0" t="n">
        <v>305</v>
      </c>
      <c r="M50" s="0" t="n">
        <v>283.3</v>
      </c>
      <c r="N50" s="0" t="n">
        <v>289.7</v>
      </c>
      <c r="O50" s="0" t="n">
        <v>264.4</v>
      </c>
      <c r="P50" s="0" t="n">
        <v>300.6</v>
      </c>
      <c r="Q50" s="0" t="n">
        <v>279.3</v>
      </c>
      <c r="R50" s="0" t="n">
        <v>300.2</v>
      </c>
      <c r="S50" s="0" t="n">
        <v>272.8</v>
      </c>
      <c r="T50" s="0" t="n">
        <v>306.4</v>
      </c>
      <c r="U50" s="0" t="n">
        <v>271.6</v>
      </c>
      <c r="V50" s="0" t="n">
        <v>294.4</v>
      </c>
      <c r="W50" s="0" t="n">
        <v>263.9</v>
      </c>
      <c r="X50" s="6" t="n">
        <f aca="false">AVERAGE(D50:W50)</f>
        <v>285.49</v>
      </c>
      <c r="Y50" s="7" t="n">
        <f aca="false">_xlfn.STDEV.S(D50:W50)</f>
        <v>13.4518204598564</v>
      </c>
      <c r="Z50" s="7" t="n">
        <f aca="false">Y50/X50</f>
        <v>0.0471183595217218</v>
      </c>
    </row>
    <row r="51" customFormat="false" ht="16.75" hidden="false" customHeight="false" outlineLevel="0" collapsed="false">
      <c r="B51" s="4"/>
      <c r="C51" s="5" t="n">
        <v>150</v>
      </c>
      <c r="D51" s="0" t="n">
        <v>286.8</v>
      </c>
      <c r="E51" s="0" t="n">
        <v>268.4</v>
      </c>
      <c r="F51" s="0" t="n">
        <v>308.1</v>
      </c>
      <c r="G51" s="0" t="n">
        <v>312.1</v>
      </c>
      <c r="H51" s="0" t="n">
        <v>313.7</v>
      </c>
      <c r="I51" s="0" t="n">
        <v>311.1</v>
      </c>
      <c r="J51" s="0" t="n">
        <v>315.6</v>
      </c>
      <c r="K51" s="0" t="n">
        <v>262.4</v>
      </c>
      <c r="L51" s="0" t="n">
        <v>296.6</v>
      </c>
      <c r="M51" s="0" t="n">
        <v>296</v>
      </c>
      <c r="N51" s="0" t="n">
        <v>306.9</v>
      </c>
      <c r="O51" s="0" t="n">
        <v>295.9</v>
      </c>
      <c r="P51" s="0" t="n">
        <v>314</v>
      </c>
      <c r="Q51" s="0" t="n">
        <v>281.2</v>
      </c>
      <c r="R51" s="0" t="n">
        <v>310.6</v>
      </c>
      <c r="S51" s="0" t="n">
        <v>316.5</v>
      </c>
      <c r="T51" s="0" t="n">
        <v>277.5</v>
      </c>
      <c r="U51" s="0" t="n">
        <v>318.2</v>
      </c>
      <c r="V51" s="0" t="n">
        <v>326.8</v>
      </c>
      <c r="W51" s="0" t="n">
        <v>301.8</v>
      </c>
      <c r="X51" s="6" t="n">
        <f aca="false">AVERAGE(D51:W51)</f>
        <v>301.01</v>
      </c>
      <c r="Y51" s="7" t="n">
        <f aca="false">_xlfn.STDEV.S(D51:W51)</f>
        <v>17.6477790461904</v>
      </c>
      <c r="Z51" s="7" t="n">
        <f aca="false">Y51/X51</f>
        <v>0.0586285473777962</v>
      </c>
    </row>
    <row r="52" customFormat="false" ht="15" hidden="false" customHeight="true" outlineLevel="0" collapsed="false">
      <c r="A52" s="1" t="s">
        <v>38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340.9</v>
      </c>
      <c r="E57" s="0" t="n">
        <v>335.3</v>
      </c>
      <c r="F57" s="0" t="n">
        <v>342.1</v>
      </c>
      <c r="G57" s="0" t="n">
        <v>338.7</v>
      </c>
      <c r="H57" s="0" t="n">
        <v>332.7</v>
      </c>
      <c r="I57" s="0" t="n">
        <v>336.9</v>
      </c>
      <c r="J57" s="0" t="n">
        <v>334.9</v>
      </c>
      <c r="K57" s="0" t="n">
        <v>335.4</v>
      </c>
      <c r="L57" s="0" t="n">
        <v>336.5</v>
      </c>
      <c r="M57" s="0" t="n">
        <v>340.1</v>
      </c>
      <c r="N57" s="0" t="n">
        <v>332.8</v>
      </c>
      <c r="O57" s="0" t="n">
        <v>338.1</v>
      </c>
      <c r="P57" s="0" t="n">
        <v>340.4</v>
      </c>
      <c r="Q57" s="0" t="n">
        <v>338.4</v>
      </c>
      <c r="R57" s="0" t="n">
        <v>341.4</v>
      </c>
      <c r="S57" s="0" t="n">
        <v>339.5</v>
      </c>
      <c r="T57" s="0" t="n">
        <v>340.8</v>
      </c>
      <c r="U57" s="0" t="n">
        <v>339.3</v>
      </c>
      <c r="V57" s="0" t="n">
        <v>338.5</v>
      </c>
      <c r="W57" s="0" t="n">
        <v>343.2</v>
      </c>
      <c r="X57" s="6" t="n">
        <f aca="false">AVERAGE(D57:W57)</f>
        <v>338.295</v>
      </c>
      <c r="Y57" s="7" t="n">
        <f aca="false">_xlfn.STDEV.S(D57:W57)</f>
        <v>2.96638624734222</v>
      </c>
      <c r="Z57" s="7" t="n">
        <f aca="false">Y57/X57</f>
        <v>0.00876863757177085</v>
      </c>
    </row>
    <row r="58" customFormat="false" ht="16.75" hidden="false" customHeight="false" outlineLevel="0" collapsed="false">
      <c r="B58" s="4"/>
      <c r="C58" s="5" t="n">
        <v>25</v>
      </c>
      <c r="D58" s="0" t="n">
        <v>340.4</v>
      </c>
      <c r="E58" s="0" t="n">
        <v>334.6</v>
      </c>
      <c r="F58" s="0" t="n">
        <v>343</v>
      </c>
      <c r="G58" s="0" t="n">
        <v>335.9</v>
      </c>
      <c r="H58" s="0" t="n">
        <v>335.1</v>
      </c>
      <c r="I58" s="0" t="n">
        <v>341</v>
      </c>
      <c r="J58" s="0" t="n">
        <v>337.4</v>
      </c>
      <c r="K58" s="0" t="n">
        <v>336.6</v>
      </c>
      <c r="L58" s="0" t="n">
        <v>340.6</v>
      </c>
      <c r="M58" s="0" t="n">
        <v>342.1</v>
      </c>
      <c r="N58" s="0" t="n">
        <v>335.6</v>
      </c>
      <c r="O58" s="0" t="n">
        <v>337.1</v>
      </c>
      <c r="P58" s="0" t="n">
        <v>340.1</v>
      </c>
      <c r="Q58" s="0" t="n">
        <v>338.3</v>
      </c>
      <c r="R58" s="0" t="n">
        <v>340.4</v>
      </c>
      <c r="S58" s="0" t="n">
        <v>339.2</v>
      </c>
      <c r="T58" s="0" t="n">
        <v>340.1</v>
      </c>
      <c r="U58" s="0" t="n">
        <v>343.1</v>
      </c>
      <c r="V58" s="0" t="n">
        <v>339.9</v>
      </c>
      <c r="W58" s="0" t="n">
        <v>339.7</v>
      </c>
      <c r="X58" s="6" t="n">
        <f aca="false">AVERAGE(D58:W58)</f>
        <v>339.01</v>
      </c>
      <c r="Y58" s="7" t="n">
        <f aca="false">_xlfn.STDEV.S(D58:W58)</f>
        <v>2.56307791942668</v>
      </c>
      <c r="Z58" s="7" t="n">
        <f aca="false">Y58/X58</f>
        <v>0.00756047880424378</v>
      </c>
    </row>
    <row r="59" customFormat="false" ht="16.75" hidden="false" customHeight="false" outlineLevel="0" collapsed="false">
      <c r="B59" s="4"/>
      <c r="C59" s="5" t="n">
        <v>38</v>
      </c>
      <c r="D59" s="0" t="n">
        <v>340.7</v>
      </c>
      <c r="E59" s="0" t="n">
        <v>337</v>
      </c>
      <c r="F59" s="0" t="n">
        <v>341.6</v>
      </c>
      <c r="G59" s="0" t="n">
        <v>341.7</v>
      </c>
      <c r="H59" s="0" t="n">
        <v>340.4</v>
      </c>
      <c r="I59" s="0" t="n">
        <v>341.6</v>
      </c>
      <c r="J59" s="0" t="n">
        <v>341.6</v>
      </c>
      <c r="K59" s="0" t="n">
        <v>339.1</v>
      </c>
      <c r="L59" s="0" t="n">
        <v>340.2</v>
      </c>
      <c r="M59" s="0" t="n">
        <v>341.3</v>
      </c>
      <c r="N59" s="0" t="n">
        <v>341.4</v>
      </c>
      <c r="O59" s="0" t="n">
        <v>336.7</v>
      </c>
      <c r="P59" s="0" t="n">
        <v>336.2</v>
      </c>
      <c r="Q59" s="0" t="n">
        <v>342.1</v>
      </c>
      <c r="R59" s="0" t="n">
        <v>341</v>
      </c>
      <c r="S59" s="0" t="n">
        <v>340.1</v>
      </c>
      <c r="T59" s="0" t="n">
        <v>338.5</v>
      </c>
      <c r="U59" s="0" t="n">
        <v>341.4</v>
      </c>
      <c r="V59" s="0" t="n">
        <v>340.3</v>
      </c>
      <c r="W59" s="0" t="n">
        <v>342.6</v>
      </c>
      <c r="X59" s="6" t="n">
        <f aca="false">AVERAGE(D59:W59)</f>
        <v>340.275</v>
      </c>
      <c r="Y59" s="7" t="n">
        <f aca="false">_xlfn.STDEV.S(D59:W59)</f>
        <v>1.84985774702017</v>
      </c>
      <c r="Z59" s="7" t="n">
        <f aca="false">Y59/X59</f>
        <v>0.00543636102276151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305.8</v>
      </c>
      <c r="E60" s="0" t="n">
        <v>312.4</v>
      </c>
      <c r="F60" s="0" t="n">
        <v>312.6</v>
      </c>
      <c r="G60" s="0" t="n">
        <v>311</v>
      </c>
      <c r="H60" s="0" t="n">
        <v>311.2</v>
      </c>
      <c r="I60" s="0" t="n">
        <v>325.3</v>
      </c>
      <c r="J60" s="0" t="n">
        <v>312.4</v>
      </c>
      <c r="K60" s="0" t="n">
        <v>313.5</v>
      </c>
      <c r="L60" s="0" t="n">
        <v>307.4</v>
      </c>
      <c r="M60" s="0" t="n">
        <v>311.9</v>
      </c>
      <c r="N60" s="0" t="n">
        <v>301</v>
      </c>
      <c r="O60" s="0" t="n">
        <v>317.4</v>
      </c>
      <c r="P60" s="0" t="n">
        <v>312.8</v>
      </c>
      <c r="Q60" s="0" t="n">
        <v>308.9</v>
      </c>
      <c r="R60" s="0" t="n">
        <v>310</v>
      </c>
      <c r="S60" s="0" t="n">
        <v>309.2</v>
      </c>
      <c r="T60" s="0" t="n">
        <v>310.9</v>
      </c>
      <c r="U60" s="0" t="n">
        <v>312.3</v>
      </c>
      <c r="V60" s="0" t="n">
        <v>307.7</v>
      </c>
      <c r="W60" s="0" t="n">
        <v>324.8</v>
      </c>
      <c r="X60" s="6" t="n">
        <f aca="false">AVERAGE(D60:W60)</f>
        <v>311.925</v>
      </c>
      <c r="Y60" s="7" t="n">
        <f aca="false">_xlfn.STDEV.S(D60:W60)</f>
        <v>5.60468553979615</v>
      </c>
      <c r="Z60" s="7" t="n">
        <f aca="false">Y60/X60</f>
        <v>0.0179680549484528</v>
      </c>
    </row>
    <row r="61" customFormat="false" ht="16.75" hidden="false" customHeight="false" outlineLevel="0" collapsed="false">
      <c r="B61" s="4"/>
      <c r="C61" s="5" t="n">
        <v>63</v>
      </c>
      <c r="D61" s="0" t="n">
        <v>310.7</v>
      </c>
      <c r="E61" s="0" t="n">
        <v>309.9</v>
      </c>
      <c r="F61" s="0" t="n">
        <v>309.7</v>
      </c>
      <c r="G61" s="0" t="n">
        <v>303.7</v>
      </c>
      <c r="H61" s="0" t="n">
        <v>304.7</v>
      </c>
      <c r="I61" s="0" t="n">
        <v>308.1</v>
      </c>
      <c r="J61" s="0" t="n">
        <v>305.8</v>
      </c>
      <c r="K61" s="0" t="n">
        <v>303.9</v>
      </c>
      <c r="L61" s="0" t="n">
        <v>306.8</v>
      </c>
      <c r="M61" s="0" t="n">
        <v>294.2</v>
      </c>
      <c r="N61" s="0" t="n">
        <v>306.7</v>
      </c>
      <c r="O61" s="0" t="n">
        <v>306.1</v>
      </c>
      <c r="P61" s="0" t="n">
        <v>301.3</v>
      </c>
      <c r="Q61" s="0" t="n">
        <v>321.8</v>
      </c>
      <c r="R61" s="0" t="n">
        <v>302.5</v>
      </c>
      <c r="S61" s="0" t="n">
        <v>298.1</v>
      </c>
      <c r="T61" s="0" t="n">
        <v>310.4</v>
      </c>
      <c r="U61" s="0" t="n">
        <v>306.1</v>
      </c>
      <c r="V61" s="0" t="n">
        <v>310.7</v>
      </c>
      <c r="W61" s="0" t="n">
        <v>304.7</v>
      </c>
      <c r="X61" s="6" t="n">
        <f aca="false">AVERAGE(D61:W61)</f>
        <v>306.295</v>
      </c>
      <c r="Y61" s="7" t="n">
        <f aca="false">_xlfn.STDEV.S(D61:W61)</f>
        <v>5.59609591355297</v>
      </c>
      <c r="Z61" s="7" t="n">
        <f aca="false">Y61/X61</f>
        <v>0.0182702816355245</v>
      </c>
    </row>
    <row r="62" customFormat="false" ht="16.75" hidden="false" customHeight="false" outlineLevel="0" collapsed="false">
      <c r="B62" s="4"/>
      <c r="C62" s="5" t="n">
        <v>93</v>
      </c>
      <c r="D62" s="0" t="n">
        <v>318.2</v>
      </c>
      <c r="E62" s="0" t="n">
        <v>313.2</v>
      </c>
      <c r="F62" s="0" t="n">
        <v>315.7</v>
      </c>
      <c r="G62" s="0" t="n">
        <v>318.9</v>
      </c>
      <c r="H62" s="0" t="n">
        <v>317.1</v>
      </c>
      <c r="I62" s="0" t="n">
        <v>318.3</v>
      </c>
      <c r="J62" s="0" t="n">
        <v>319.1</v>
      </c>
      <c r="K62" s="0" t="n">
        <v>314.6</v>
      </c>
      <c r="L62" s="0" t="n">
        <v>321.2</v>
      </c>
      <c r="M62" s="0" t="n">
        <v>323.6</v>
      </c>
      <c r="N62" s="0" t="n">
        <v>314.9</v>
      </c>
      <c r="O62" s="0" t="n">
        <v>314.3</v>
      </c>
      <c r="P62" s="0" t="n">
        <v>320.3</v>
      </c>
      <c r="Q62" s="0" t="n">
        <v>310.2</v>
      </c>
      <c r="R62" s="0" t="n">
        <v>317.7</v>
      </c>
      <c r="S62" s="0" t="n">
        <v>310.2</v>
      </c>
      <c r="T62" s="0" t="n">
        <v>312.7</v>
      </c>
      <c r="U62" s="0" t="n">
        <v>313.4</v>
      </c>
      <c r="V62" s="0" t="n">
        <v>299</v>
      </c>
      <c r="W62" s="0" t="n">
        <v>316.8</v>
      </c>
      <c r="X62" s="6" t="n">
        <f aca="false">AVERAGE(D62:W62)</f>
        <v>315.47</v>
      </c>
      <c r="Y62" s="7" t="n">
        <f aca="false">_xlfn.STDEV.S(D62:W62)</f>
        <v>5.22384210287692</v>
      </c>
      <c r="Z62" s="7" t="n">
        <f aca="false">Y62/X62</f>
        <v>0.0165589187652611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287.1</v>
      </c>
      <c r="E63" s="0" t="n">
        <v>295.9</v>
      </c>
      <c r="F63" s="0" t="n">
        <v>276.3</v>
      </c>
      <c r="G63" s="0" t="n">
        <v>285.9</v>
      </c>
      <c r="H63" s="0" t="n">
        <v>288.6</v>
      </c>
      <c r="I63" s="0" t="n">
        <v>290</v>
      </c>
      <c r="J63" s="0" t="n">
        <v>283.6</v>
      </c>
      <c r="K63" s="0" t="n">
        <v>287.9</v>
      </c>
      <c r="L63" s="0" t="n">
        <v>282.7</v>
      </c>
      <c r="M63" s="0" t="n">
        <v>297.3</v>
      </c>
      <c r="N63" s="0" t="n">
        <v>283</v>
      </c>
      <c r="O63" s="0" t="n">
        <v>285.7</v>
      </c>
      <c r="P63" s="0" t="n">
        <v>287</v>
      </c>
      <c r="Q63" s="0" t="n">
        <v>287.1</v>
      </c>
      <c r="R63" s="0" t="n">
        <v>285.4</v>
      </c>
      <c r="S63" s="0" t="n">
        <v>287</v>
      </c>
      <c r="T63" s="0" t="n">
        <v>290.7</v>
      </c>
      <c r="U63" s="0" t="n">
        <v>274.7</v>
      </c>
      <c r="V63" s="0" t="n">
        <v>282.2</v>
      </c>
      <c r="W63" s="0" t="n">
        <v>286.6</v>
      </c>
      <c r="X63" s="6" t="n">
        <f aca="false">AVERAGE(D63:W63)</f>
        <v>286.235</v>
      </c>
      <c r="Y63" s="7" t="n">
        <f aca="false">_xlfn.STDEV.S(D63:W63)</f>
        <v>5.33195678507382</v>
      </c>
      <c r="Z63" s="7" t="n">
        <f aca="false">Y63/X63</f>
        <v>0.0186278994010999</v>
      </c>
    </row>
    <row r="64" customFormat="false" ht="16.75" hidden="false" customHeight="false" outlineLevel="0" collapsed="false">
      <c r="B64" s="4"/>
      <c r="C64" s="5" t="n">
        <v>38</v>
      </c>
      <c r="D64" s="0" t="n">
        <v>280.9</v>
      </c>
      <c r="E64" s="0" t="n">
        <v>292.3</v>
      </c>
      <c r="F64" s="0" t="n">
        <v>293.6</v>
      </c>
      <c r="G64" s="0" t="n">
        <v>289.1</v>
      </c>
      <c r="H64" s="0" t="n">
        <v>291.7</v>
      </c>
      <c r="I64" s="0" t="n">
        <v>289.6</v>
      </c>
      <c r="J64" s="0" t="n">
        <v>292.9</v>
      </c>
      <c r="K64" s="0" t="n">
        <v>297.1</v>
      </c>
      <c r="L64" s="0" t="n">
        <v>292.3</v>
      </c>
      <c r="M64" s="0" t="n">
        <v>290.3</v>
      </c>
      <c r="N64" s="0" t="n">
        <v>290.4</v>
      </c>
      <c r="O64" s="0" t="n">
        <v>289.1</v>
      </c>
      <c r="P64" s="0" t="n">
        <v>284.2</v>
      </c>
      <c r="Q64" s="0" t="n">
        <v>281.3</v>
      </c>
      <c r="R64" s="0" t="n">
        <v>300.3</v>
      </c>
      <c r="S64" s="0" t="n">
        <v>284.9</v>
      </c>
      <c r="T64" s="0" t="n">
        <v>291.6</v>
      </c>
      <c r="U64" s="0" t="n">
        <v>290.2</v>
      </c>
      <c r="V64" s="0" t="n">
        <v>296.3</v>
      </c>
      <c r="W64" s="0" t="n">
        <v>292.8</v>
      </c>
      <c r="X64" s="6" t="n">
        <f aca="false">AVERAGE(D64:W64)</f>
        <v>290.545</v>
      </c>
      <c r="Y64" s="7" t="n">
        <f aca="false">_xlfn.STDEV.S(D64:W64)</f>
        <v>4.89741876158409</v>
      </c>
      <c r="Z64" s="7" t="n">
        <f aca="false">Y64/X64</f>
        <v>0.0168559732970249</v>
      </c>
    </row>
    <row r="65" customFormat="false" ht="16.75" hidden="false" customHeight="false" outlineLevel="0" collapsed="false">
      <c r="B65" s="4"/>
      <c r="C65" s="5" t="n">
        <v>50</v>
      </c>
      <c r="D65" s="0" t="n">
        <v>293.6</v>
      </c>
      <c r="E65" s="0" t="n">
        <v>295.5</v>
      </c>
      <c r="F65" s="0" t="n">
        <v>300.2</v>
      </c>
      <c r="G65" s="0" t="n">
        <v>308.8</v>
      </c>
      <c r="H65" s="0" t="n">
        <v>300.7</v>
      </c>
      <c r="I65" s="0" t="n">
        <v>304.1</v>
      </c>
      <c r="J65" s="0" t="n">
        <v>299.1</v>
      </c>
      <c r="K65" s="0" t="n">
        <v>298.7</v>
      </c>
      <c r="L65" s="0" t="n">
        <v>312.2</v>
      </c>
      <c r="M65" s="0" t="n">
        <v>291.3</v>
      </c>
      <c r="N65" s="0" t="n">
        <v>295.1</v>
      </c>
      <c r="O65" s="0" t="n">
        <v>292.5</v>
      </c>
      <c r="P65" s="0" t="n">
        <v>302.4</v>
      </c>
      <c r="Q65" s="0" t="n">
        <v>300.7</v>
      </c>
      <c r="R65" s="0" t="n">
        <v>296.6</v>
      </c>
      <c r="S65" s="0" t="n">
        <v>295.1</v>
      </c>
      <c r="T65" s="0" t="n">
        <v>299.9</v>
      </c>
      <c r="U65" s="0" t="n">
        <v>297.1</v>
      </c>
      <c r="V65" s="0" t="n">
        <v>300.2</v>
      </c>
      <c r="W65" s="0" t="n">
        <v>294.5</v>
      </c>
      <c r="X65" s="6" t="n">
        <f aca="false">AVERAGE(D65:W65)</f>
        <v>298.915</v>
      </c>
      <c r="Y65" s="7" t="n">
        <f aca="false">_xlfn.STDEV.S(D65:W65)</f>
        <v>5.23281900478528</v>
      </c>
      <c r="Z65" s="7" t="n">
        <f aca="false">Y65/X65</f>
        <v>0.0175060435400876</v>
      </c>
    </row>
    <row r="66" customFormat="false" ht="16.75" hidden="false" customHeight="false" outlineLevel="0" collapsed="false">
      <c r="B66" s="4"/>
      <c r="C66" s="5" t="n">
        <v>75</v>
      </c>
      <c r="D66" s="0" t="n">
        <v>296.2</v>
      </c>
      <c r="E66" s="0" t="n">
        <v>305.6</v>
      </c>
      <c r="F66" s="0" t="n">
        <v>303.6</v>
      </c>
      <c r="G66" s="0" t="n">
        <v>297.8</v>
      </c>
      <c r="H66" s="0" t="n">
        <v>308.1</v>
      </c>
      <c r="I66" s="0" t="n">
        <v>303.8</v>
      </c>
      <c r="J66" s="0" t="n">
        <v>304.4</v>
      </c>
      <c r="K66" s="0" t="n">
        <v>304.4</v>
      </c>
      <c r="L66" s="0" t="n">
        <v>297.6</v>
      </c>
      <c r="M66" s="0" t="n">
        <v>298.5</v>
      </c>
      <c r="N66" s="0" t="n">
        <v>296.7</v>
      </c>
      <c r="O66" s="0" t="n">
        <v>287.2</v>
      </c>
      <c r="P66" s="0" t="n">
        <v>284.1</v>
      </c>
      <c r="Q66" s="0" t="n">
        <v>303</v>
      </c>
      <c r="R66" s="0" t="n">
        <v>298.6</v>
      </c>
      <c r="S66" s="0" t="n">
        <v>303.6</v>
      </c>
      <c r="T66" s="0" t="n">
        <v>303</v>
      </c>
      <c r="U66" s="0" t="n">
        <v>297</v>
      </c>
      <c r="V66" s="0" t="n">
        <v>316.1</v>
      </c>
      <c r="W66" s="0" t="n">
        <v>299.4</v>
      </c>
      <c r="X66" s="6" t="n">
        <f aca="false">AVERAGE(D66:W66)</f>
        <v>300.435</v>
      </c>
      <c r="Y66" s="7" t="n">
        <f aca="false">_xlfn.STDEV.S(D66:W66)</f>
        <v>6.94196051483108</v>
      </c>
      <c r="Z66" s="7" t="n">
        <f aca="false">Y66/X66</f>
        <v>0.0231063641547459</v>
      </c>
    </row>
    <row r="67" customFormat="false" ht="16.75" hidden="false" customHeight="false" outlineLevel="0" collapsed="false">
      <c r="B67" s="4"/>
      <c r="C67" s="5" t="n">
        <v>100</v>
      </c>
      <c r="D67" s="0" t="n">
        <v>313.4</v>
      </c>
      <c r="E67" s="0" t="n">
        <v>311.7</v>
      </c>
      <c r="F67" s="0" t="n">
        <v>301.7</v>
      </c>
      <c r="G67" s="0" t="n">
        <v>305</v>
      </c>
      <c r="H67" s="0" t="n">
        <v>303.5</v>
      </c>
      <c r="I67" s="0" t="n">
        <v>309.1</v>
      </c>
      <c r="J67" s="0" t="n">
        <v>311.6</v>
      </c>
      <c r="K67" s="0" t="n">
        <v>310.3</v>
      </c>
      <c r="L67" s="0" t="n">
        <v>304.6</v>
      </c>
      <c r="M67" s="0" t="n">
        <v>314.5</v>
      </c>
      <c r="N67" s="0" t="n">
        <v>314.1</v>
      </c>
      <c r="O67" s="0" t="n">
        <v>308.6</v>
      </c>
      <c r="P67" s="0" t="n">
        <v>311.1</v>
      </c>
      <c r="Q67" s="0" t="n">
        <v>304.2</v>
      </c>
      <c r="R67" s="0" t="n">
        <v>310.3</v>
      </c>
      <c r="S67" s="0" t="n">
        <v>314.2</v>
      </c>
      <c r="T67" s="0" t="n">
        <v>300.4</v>
      </c>
      <c r="U67" s="0" t="n">
        <v>310.2</v>
      </c>
      <c r="V67" s="0" t="n">
        <v>307.7</v>
      </c>
      <c r="W67" s="0" t="n">
        <v>307.3</v>
      </c>
      <c r="X67" s="6" t="n">
        <f aca="false">AVERAGE(D67:W67)</f>
        <v>308.675</v>
      </c>
      <c r="Y67" s="7" t="n">
        <f aca="false">_xlfn.STDEV.S(D67:W67)</f>
        <v>4.25798012405438</v>
      </c>
      <c r="Z67" s="7" t="n">
        <f aca="false">Y67/X67</f>
        <v>0.0137943796033186</v>
      </c>
    </row>
    <row r="68" customFormat="false" ht="16.75" hidden="false" customHeight="false" outlineLevel="0" collapsed="false">
      <c r="B68" s="4"/>
      <c r="C68" s="5" t="n">
        <v>150</v>
      </c>
      <c r="D68" s="0" t="n">
        <v>308.4</v>
      </c>
      <c r="E68" s="0" t="n">
        <v>315.6</v>
      </c>
      <c r="F68" s="0" t="n">
        <v>294.5</v>
      </c>
      <c r="G68" s="0" t="n">
        <v>311.9</v>
      </c>
      <c r="H68" s="0" t="n">
        <v>303.4</v>
      </c>
      <c r="I68" s="0" t="n">
        <v>309</v>
      </c>
      <c r="J68" s="0" t="n">
        <v>306.5</v>
      </c>
      <c r="K68" s="0" t="n">
        <v>306.6</v>
      </c>
      <c r="L68" s="0" t="n">
        <v>319.2</v>
      </c>
      <c r="M68" s="0" t="n">
        <v>312.8</v>
      </c>
      <c r="N68" s="0" t="n">
        <v>302.7</v>
      </c>
      <c r="O68" s="0" t="n">
        <v>306.7</v>
      </c>
      <c r="P68" s="0" t="n">
        <v>313.1</v>
      </c>
      <c r="Q68" s="0" t="n">
        <v>302.9</v>
      </c>
      <c r="R68" s="0" t="n">
        <v>319.8</v>
      </c>
      <c r="S68" s="0" t="n">
        <v>315.6</v>
      </c>
      <c r="T68" s="0" t="n">
        <v>314.7</v>
      </c>
      <c r="U68" s="0" t="n">
        <v>298.8</v>
      </c>
      <c r="V68" s="0" t="n">
        <v>305.9</v>
      </c>
      <c r="W68" s="0" t="n">
        <v>306.5</v>
      </c>
      <c r="X68" s="6" t="n">
        <f aca="false">AVERAGE(D68:W68)</f>
        <v>308.73</v>
      </c>
      <c r="Y68" s="7" t="n">
        <f aca="false">_xlfn.STDEV.S(D68:W68)</f>
        <v>6.6275422133302</v>
      </c>
      <c r="Z68" s="7" t="n">
        <f aca="false">Y68/X68</f>
        <v>0.0214671143501772</v>
      </c>
    </row>
    <row r="69" customFormat="false" ht="15" hidden="false" customHeight="true" outlineLevel="0" collapsed="false">
      <c r="A69" s="1" t="s">
        <v>39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344.2</v>
      </c>
      <c r="E74" s="0" t="n">
        <v>338.6</v>
      </c>
      <c r="F74" s="0" t="n">
        <v>344.8</v>
      </c>
      <c r="G74" s="0" t="n">
        <v>344.1</v>
      </c>
      <c r="H74" s="0" t="n">
        <v>347.2</v>
      </c>
      <c r="I74" s="0" t="n">
        <v>345.1</v>
      </c>
      <c r="J74" s="0" t="n">
        <v>343.8</v>
      </c>
      <c r="K74" s="0" t="n">
        <v>343.3</v>
      </c>
      <c r="L74" s="0" t="n">
        <v>339.4</v>
      </c>
      <c r="M74" s="0" t="n">
        <v>350.9</v>
      </c>
      <c r="N74" s="0" t="n">
        <v>344.6</v>
      </c>
      <c r="O74" s="0" t="n">
        <v>344.8</v>
      </c>
      <c r="P74" s="0" t="n">
        <v>343.2</v>
      </c>
      <c r="Q74" s="0" t="n">
        <v>338.3</v>
      </c>
      <c r="R74" s="0" t="n">
        <v>344.3</v>
      </c>
      <c r="S74" s="0" t="n">
        <v>338.8</v>
      </c>
      <c r="T74" s="0" t="n">
        <v>343.5</v>
      </c>
      <c r="U74" s="0" t="n">
        <v>342.5</v>
      </c>
      <c r="V74" s="0" t="n">
        <v>346.5</v>
      </c>
      <c r="W74" s="0" t="n">
        <v>343.7</v>
      </c>
      <c r="X74" s="6" t="n">
        <f aca="false">AVERAGE(D74:W74)</f>
        <v>343.58</v>
      </c>
      <c r="Y74" s="7" t="n">
        <f aca="false">_xlfn.STDEV.S(D74:W74)</f>
        <v>3.05366044367463</v>
      </c>
      <c r="Z74" s="7" t="n">
        <f aca="false">Y74/X74</f>
        <v>0.00888777124301365</v>
      </c>
    </row>
    <row r="75" customFormat="false" ht="16.75" hidden="false" customHeight="false" outlineLevel="0" collapsed="false">
      <c r="B75" s="4"/>
      <c r="C75" s="5" t="n">
        <v>25</v>
      </c>
      <c r="D75" s="0" t="n">
        <v>338.9</v>
      </c>
      <c r="E75" s="0" t="n">
        <v>340.1</v>
      </c>
      <c r="F75" s="0" t="n">
        <v>344.3</v>
      </c>
      <c r="G75" s="0" t="n">
        <v>341.5</v>
      </c>
      <c r="H75" s="0" t="n">
        <v>343.1</v>
      </c>
      <c r="I75" s="0" t="n">
        <v>341</v>
      </c>
      <c r="J75" s="0" t="n">
        <v>354.1</v>
      </c>
      <c r="K75" s="0" t="n">
        <v>343.3</v>
      </c>
      <c r="L75" s="0" t="n">
        <v>341.9</v>
      </c>
      <c r="M75" s="0" t="n">
        <v>338.9</v>
      </c>
      <c r="N75" s="0" t="n">
        <v>347.3</v>
      </c>
      <c r="O75" s="0" t="n">
        <v>340.8</v>
      </c>
      <c r="P75" s="0" t="n">
        <v>339.5</v>
      </c>
      <c r="Q75" s="0" t="n">
        <v>341</v>
      </c>
      <c r="R75" s="0" t="n">
        <v>343.1</v>
      </c>
      <c r="S75" s="0" t="n">
        <v>342.8</v>
      </c>
      <c r="T75" s="0" t="n">
        <v>338.7</v>
      </c>
      <c r="U75" s="0" t="n">
        <v>344.9</v>
      </c>
      <c r="V75" s="0" t="n">
        <v>344.1</v>
      </c>
      <c r="W75" s="0" t="n">
        <v>344.8</v>
      </c>
      <c r="X75" s="6" t="n">
        <f aca="false">AVERAGE(D75:W75)</f>
        <v>342.705</v>
      </c>
      <c r="Y75" s="7" t="n">
        <f aca="false">_xlfn.STDEV.S(D75:W75)</f>
        <v>3.54615803964027</v>
      </c>
      <c r="Z75" s="7" t="n">
        <f aca="false">Y75/X75</f>
        <v>0.0103475526754505</v>
      </c>
    </row>
    <row r="76" customFormat="false" ht="16.75" hidden="false" customHeight="false" outlineLevel="0" collapsed="false">
      <c r="B76" s="4"/>
      <c r="C76" s="5" t="n">
        <v>38</v>
      </c>
      <c r="D76" s="0" t="n">
        <v>338.4</v>
      </c>
      <c r="E76" s="0" t="n">
        <v>341.4</v>
      </c>
      <c r="F76" s="0" t="n">
        <v>335.3</v>
      </c>
      <c r="G76" s="0" t="n">
        <v>331.5</v>
      </c>
      <c r="H76" s="0" t="n">
        <v>337.5</v>
      </c>
      <c r="I76" s="0" t="n">
        <v>333.3</v>
      </c>
      <c r="J76" s="0" t="n">
        <v>334.5</v>
      </c>
      <c r="K76" s="0" t="n">
        <v>333</v>
      </c>
      <c r="L76" s="0" t="n">
        <v>336.5</v>
      </c>
      <c r="M76" s="0" t="n">
        <v>336.9</v>
      </c>
      <c r="N76" s="0" t="n">
        <v>331.5</v>
      </c>
      <c r="O76" s="0" t="n">
        <v>338.4</v>
      </c>
      <c r="P76" s="0" t="n">
        <v>334.8</v>
      </c>
      <c r="Q76" s="0" t="n">
        <v>335.1</v>
      </c>
      <c r="R76" s="0" t="n">
        <v>336.8</v>
      </c>
      <c r="S76" s="0" t="n">
        <v>337.7</v>
      </c>
      <c r="T76" s="0" t="n">
        <v>331.4</v>
      </c>
      <c r="U76" s="0" t="n">
        <v>338.7</v>
      </c>
      <c r="V76" s="0" t="n">
        <v>334.7</v>
      </c>
      <c r="W76" s="0" t="n">
        <v>338.7</v>
      </c>
      <c r="X76" s="6" t="n">
        <f aca="false">AVERAGE(D76:W76)</f>
        <v>335.805</v>
      </c>
      <c r="Y76" s="7" t="n">
        <f aca="false">_xlfn.STDEV.S(D76:W76)</f>
        <v>2.7717512989368</v>
      </c>
      <c r="Z76" s="7" t="n">
        <f aca="false">Y76/X76</f>
        <v>0.00825405011520616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324.3</v>
      </c>
      <c r="E77" s="0" t="n">
        <v>327.7</v>
      </c>
      <c r="F77" s="0" t="n">
        <v>322</v>
      </c>
      <c r="G77" s="0" t="n">
        <v>322.3</v>
      </c>
      <c r="H77" s="0" t="n">
        <v>319.3</v>
      </c>
      <c r="I77" s="0" t="n">
        <v>326.3</v>
      </c>
      <c r="J77" s="0" t="n">
        <v>337.1</v>
      </c>
      <c r="K77" s="0" t="n">
        <v>327</v>
      </c>
      <c r="L77" s="0" t="n">
        <v>335.2</v>
      </c>
      <c r="M77" s="0" t="n">
        <v>326.9</v>
      </c>
      <c r="N77" s="0" t="n">
        <v>325.4</v>
      </c>
      <c r="O77" s="0" t="n">
        <v>334.4</v>
      </c>
      <c r="P77" s="0" t="n">
        <v>326.1</v>
      </c>
      <c r="Q77" s="0" t="n">
        <v>327</v>
      </c>
      <c r="R77" s="0" t="n">
        <v>322.8</v>
      </c>
      <c r="S77" s="0" t="n">
        <v>322.9</v>
      </c>
      <c r="T77" s="0" t="n">
        <v>327.5</v>
      </c>
      <c r="U77" s="0" t="n">
        <v>323.3</v>
      </c>
      <c r="V77" s="0" t="n">
        <v>324.2</v>
      </c>
      <c r="W77" s="0" t="n">
        <v>319.6</v>
      </c>
      <c r="X77" s="6" t="n">
        <f aca="false">AVERAGE(D77:W77)</f>
        <v>326.065</v>
      </c>
      <c r="Y77" s="7" t="n">
        <f aca="false">_xlfn.STDEV.S(D77:W77)</f>
        <v>4.78784370760168</v>
      </c>
      <c r="Z77" s="7" t="n">
        <f aca="false">Y77/X77</f>
        <v>0.0146837094064119</v>
      </c>
    </row>
    <row r="78" customFormat="false" ht="16.75" hidden="false" customHeight="false" outlineLevel="0" collapsed="false">
      <c r="B78" s="4"/>
      <c r="C78" s="5" t="n">
        <v>63</v>
      </c>
      <c r="D78" s="0" t="n">
        <v>334.4</v>
      </c>
      <c r="E78" s="0" t="n">
        <v>321.2</v>
      </c>
      <c r="F78" s="0" t="n">
        <v>324.4</v>
      </c>
      <c r="G78" s="0" t="n">
        <v>326.3</v>
      </c>
      <c r="H78" s="0" t="n">
        <v>324.5</v>
      </c>
      <c r="I78" s="0" t="n">
        <v>327.4</v>
      </c>
      <c r="J78" s="0" t="n">
        <v>321</v>
      </c>
      <c r="K78" s="0" t="n">
        <v>318.4</v>
      </c>
      <c r="L78" s="0" t="n">
        <v>327</v>
      </c>
      <c r="M78" s="0" t="n">
        <v>330.7</v>
      </c>
      <c r="N78" s="0" t="n">
        <v>321.8</v>
      </c>
      <c r="O78" s="0" t="n">
        <v>320.1</v>
      </c>
      <c r="P78" s="0" t="n">
        <v>320.2</v>
      </c>
      <c r="Q78" s="0" t="n">
        <v>323</v>
      </c>
      <c r="R78" s="0" t="n">
        <v>312</v>
      </c>
      <c r="S78" s="0" t="n">
        <v>339.7</v>
      </c>
      <c r="T78" s="0" t="n">
        <v>325.6</v>
      </c>
      <c r="U78" s="0" t="n">
        <v>318.8</v>
      </c>
      <c r="V78" s="0" t="n">
        <v>334.8</v>
      </c>
      <c r="W78" s="0" t="n">
        <v>326.2</v>
      </c>
      <c r="X78" s="6" t="n">
        <f aca="false">AVERAGE(D78:W78)</f>
        <v>324.875</v>
      </c>
      <c r="Y78" s="7" t="n">
        <f aca="false">_xlfn.STDEV.S(D78:W78)</f>
        <v>6.44514301013194</v>
      </c>
      <c r="Z78" s="7" t="n">
        <f aca="false">Y78/X78</f>
        <v>0.0198388395848617</v>
      </c>
    </row>
    <row r="79" customFormat="false" ht="16.75" hidden="false" customHeight="false" outlineLevel="0" collapsed="false">
      <c r="B79" s="4"/>
      <c r="C79" s="5" t="n">
        <v>93</v>
      </c>
      <c r="D79" s="0" t="n">
        <v>334.5</v>
      </c>
      <c r="E79" s="0" t="n">
        <v>333.4</v>
      </c>
      <c r="F79" s="0" t="n">
        <v>329.3</v>
      </c>
      <c r="G79" s="0" t="n">
        <v>330.8</v>
      </c>
      <c r="H79" s="0" t="n">
        <v>330.8</v>
      </c>
      <c r="I79" s="0" t="n">
        <v>328.3</v>
      </c>
      <c r="J79" s="0" t="n">
        <v>324.1</v>
      </c>
      <c r="K79" s="0" t="n">
        <v>333</v>
      </c>
      <c r="L79" s="0" t="n">
        <v>343.5</v>
      </c>
      <c r="M79" s="0" t="n">
        <v>327.2</v>
      </c>
      <c r="N79" s="0" t="n">
        <v>329.3</v>
      </c>
      <c r="O79" s="0" t="n">
        <v>327.2</v>
      </c>
      <c r="P79" s="0" t="n">
        <v>333.5</v>
      </c>
      <c r="Q79" s="0" t="n">
        <v>326.4</v>
      </c>
      <c r="R79" s="0" t="n">
        <v>330.9</v>
      </c>
      <c r="S79" s="0" t="n">
        <v>330</v>
      </c>
      <c r="T79" s="0" t="n">
        <v>328.8</v>
      </c>
      <c r="U79" s="0" t="n">
        <v>327.8</v>
      </c>
      <c r="V79" s="0" t="n">
        <v>333.9</v>
      </c>
      <c r="W79" s="0" t="n">
        <v>329.2</v>
      </c>
      <c r="X79" s="6" t="n">
        <f aca="false">AVERAGE(D79:W79)</f>
        <v>330.595</v>
      </c>
      <c r="Y79" s="7" t="n">
        <f aca="false">_xlfn.STDEV.S(D79:W79)</f>
        <v>4.10243509201675</v>
      </c>
      <c r="Z79" s="7" t="n">
        <f aca="false">Y79/X79</f>
        <v>0.0124092472421445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299.3</v>
      </c>
      <c r="E80" s="0" t="n">
        <v>294</v>
      </c>
      <c r="F80" s="0" t="n">
        <v>288.9</v>
      </c>
      <c r="G80" s="0" t="n">
        <v>295.2</v>
      </c>
      <c r="H80" s="0" t="n">
        <v>318.7</v>
      </c>
      <c r="I80" s="0" t="n">
        <v>292.2</v>
      </c>
      <c r="J80" s="0" t="n">
        <v>285.3</v>
      </c>
      <c r="K80" s="0" t="n">
        <v>296.1</v>
      </c>
      <c r="L80" s="0" t="n">
        <v>303.3</v>
      </c>
      <c r="M80" s="0" t="n">
        <v>294.8</v>
      </c>
      <c r="N80" s="0" t="n">
        <v>295.9</v>
      </c>
      <c r="O80" s="0" t="n">
        <v>303.6</v>
      </c>
      <c r="P80" s="0" t="n">
        <v>300.3</v>
      </c>
      <c r="Q80" s="0" t="n">
        <v>297.2</v>
      </c>
      <c r="R80" s="0" t="n">
        <v>299.6</v>
      </c>
      <c r="S80" s="0" t="n">
        <v>310</v>
      </c>
      <c r="T80" s="0" t="n">
        <v>288.6</v>
      </c>
      <c r="U80" s="0" t="n">
        <v>318.3</v>
      </c>
      <c r="V80" s="0" t="n">
        <v>307.1</v>
      </c>
      <c r="W80" s="0" t="n">
        <v>296.3</v>
      </c>
      <c r="X80" s="6" t="n">
        <f aca="false">AVERAGE(D80:W80)</f>
        <v>299.235</v>
      </c>
      <c r="Y80" s="7" t="n">
        <f aca="false">_xlfn.STDEV.S(D80:W80)</f>
        <v>8.93722404800342</v>
      </c>
      <c r="Z80" s="7" t="n">
        <f aca="false">Y80/X80</f>
        <v>0.0298669074406517</v>
      </c>
    </row>
    <row r="81" customFormat="false" ht="16.75" hidden="false" customHeight="false" outlineLevel="0" collapsed="false">
      <c r="B81" s="4"/>
      <c r="C81" s="5" t="n">
        <v>38</v>
      </c>
      <c r="D81" s="0" t="n">
        <v>306.7</v>
      </c>
      <c r="E81" s="0" t="n">
        <v>297.8</v>
      </c>
      <c r="F81" s="0" t="n">
        <v>293.3</v>
      </c>
      <c r="G81" s="0" t="n">
        <v>306</v>
      </c>
      <c r="H81" s="0" t="n">
        <v>311.5</v>
      </c>
      <c r="I81" s="0" t="n">
        <v>303.3</v>
      </c>
      <c r="J81" s="0" t="n">
        <v>310.4</v>
      </c>
      <c r="K81" s="0" t="n">
        <v>296.9</v>
      </c>
      <c r="L81" s="0" t="n">
        <v>311.5</v>
      </c>
      <c r="M81" s="0" t="n">
        <v>303</v>
      </c>
      <c r="N81" s="0" t="n">
        <v>298.8</v>
      </c>
      <c r="O81" s="0" t="n">
        <v>307.6</v>
      </c>
      <c r="P81" s="0" t="n">
        <v>302.4</v>
      </c>
      <c r="Q81" s="0" t="n">
        <v>296.2</v>
      </c>
      <c r="R81" s="0" t="n">
        <v>320.8</v>
      </c>
      <c r="S81" s="0" t="n">
        <v>306.3</v>
      </c>
      <c r="T81" s="0" t="n">
        <v>301.8</v>
      </c>
      <c r="U81" s="0" t="n">
        <v>303.9</v>
      </c>
      <c r="V81" s="0" t="n">
        <v>293.2</v>
      </c>
      <c r="W81" s="0" t="n">
        <v>305</v>
      </c>
      <c r="X81" s="6" t="n">
        <f aca="false">AVERAGE(D81:W81)</f>
        <v>303.82</v>
      </c>
      <c r="Y81" s="7" t="n">
        <f aca="false">_xlfn.STDEV.S(D81:W81)</f>
        <v>6.81465912187605</v>
      </c>
      <c r="Z81" s="7" t="n">
        <f aca="false">Y81/X81</f>
        <v>0.0224299227235733</v>
      </c>
    </row>
    <row r="82" customFormat="false" ht="16.75" hidden="false" customHeight="false" outlineLevel="0" collapsed="false">
      <c r="B82" s="4"/>
      <c r="C82" s="5" t="n">
        <v>50</v>
      </c>
      <c r="D82" s="0" t="n">
        <v>305.1</v>
      </c>
      <c r="E82" s="0" t="n">
        <v>297</v>
      </c>
      <c r="F82" s="0" t="n">
        <v>303.9</v>
      </c>
      <c r="G82" s="0" t="n">
        <v>299.7</v>
      </c>
      <c r="H82" s="0" t="n">
        <v>306.9</v>
      </c>
      <c r="I82" s="0" t="n">
        <v>302.3</v>
      </c>
      <c r="J82" s="0" t="n">
        <v>296</v>
      </c>
      <c r="K82" s="0" t="n">
        <v>296.2</v>
      </c>
      <c r="L82" s="0" t="n">
        <v>298.4</v>
      </c>
      <c r="M82" s="0" t="n">
        <v>298</v>
      </c>
      <c r="N82" s="0" t="n">
        <v>301.4</v>
      </c>
      <c r="O82" s="0" t="n">
        <v>310.8</v>
      </c>
      <c r="P82" s="0" t="n">
        <v>295.6</v>
      </c>
      <c r="Q82" s="0" t="n">
        <v>301.5</v>
      </c>
      <c r="R82" s="0" t="n">
        <v>297.9</v>
      </c>
      <c r="S82" s="0" t="n">
        <v>317.5</v>
      </c>
      <c r="T82" s="0" t="n">
        <v>297.9</v>
      </c>
      <c r="U82" s="0" t="n">
        <v>305.6</v>
      </c>
      <c r="V82" s="0" t="n">
        <v>310.7</v>
      </c>
      <c r="W82" s="0" t="n">
        <v>315.6</v>
      </c>
      <c r="X82" s="6" t="n">
        <f aca="false">AVERAGE(D82:W82)</f>
        <v>302.9</v>
      </c>
      <c r="Y82" s="7" t="n">
        <f aca="false">_xlfn.STDEV.S(D82:W82)</f>
        <v>6.55543165707083</v>
      </c>
      <c r="Z82" s="7" t="n">
        <f aca="false">Y82/X82</f>
        <v>0.0216422306275036</v>
      </c>
    </row>
    <row r="83" customFormat="false" ht="16.75" hidden="false" customHeight="false" outlineLevel="0" collapsed="false">
      <c r="B83" s="4"/>
      <c r="C83" s="5" t="n">
        <v>75</v>
      </c>
      <c r="D83" s="0" t="n">
        <v>298</v>
      </c>
      <c r="E83" s="0" t="n">
        <v>291.3</v>
      </c>
      <c r="F83" s="0" t="n">
        <v>299.8</v>
      </c>
      <c r="G83" s="0" t="n">
        <v>295.4</v>
      </c>
      <c r="H83" s="0" t="n">
        <v>297</v>
      </c>
      <c r="I83" s="0" t="n">
        <v>297.6</v>
      </c>
      <c r="J83" s="0" t="n">
        <v>303.9</v>
      </c>
      <c r="K83" s="0" t="n">
        <v>302.5</v>
      </c>
      <c r="L83" s="0" t="n">
        <v>295.9</v>
      </c>
      <c r="M83" s="0" t="n">
        <v>298.8</v>
      </c>
      <c r="N83" s="0" t="n">
        <v>303.3</v>
      </c>
      <c r="O83" s="0" t="n">
        <v>298.1</v>
      </c>
      <c r="P83" s="0" t="n">
        <v>292.6</v>
      </c>
      <c r="Q83" s="0" t="n">
        <v>294.7</v>
      </c>
      <c r="R83" s="0" t="n">
        <v>292</v>
      </c>
      <c r="S83" s="0" t="n">
        <v>301</v>
      </c>
      <c r="T83" s="0" t="n">
        <v>305.9</v>
      </c>
      <c r="U83" s="0" t="n">
        <v>319.6</v>
      </c>
      <c r="V83" s="0" t="n">
        <v>307.4</v>
      </c>
      <c r="W83" s="0" t="n">
        <v>301.6</v>
      </c>
      <c r="X83" s="6" t="n">
        <f aca="false">AVERAGE(D83:W83)</f>
        <v>299.82</v>
      </c>
      <c r="Y83" s="7" t="n">
        <f aca="false">_xlfn.STDEV.S(D83:W83)</f>
        <v>6.46183939919994</v>
      </c>
      <c r="Z83" s="7" t="n">
        <f aca="false">Y83/X83</f>
        <v>0.0215523961016608</v>
      </c>
    </row>
    <row r="84" customFormat="false" ht="16.75" hidden="false" customHeight="false" outlineLevel="0" collapsed="false">
      <c r="B84" s="4"/>
      <c r="C84" s="5" t="n">
        <v>100</v>
      </c>
      <c r="D84" s="0" t="n">
        <v>299</v>
      </c>
      <c r="E84" s="0" t="n">
        <v>292.4</v>
      </c>
      <c r="F84" s="0" t="n">
        <v>297.6</v>
      </c>
      <c r="G84" s="0" t="n">
        <v>305.7</v>
      </c>
      <c r="H84" s="0" t="n">
        <v>305.4</v>
      </c>
      <c r="I84" s="0" t="n">
        <v>296.7</v>
      </c>
      <c r="J84" s="0" t="n">
        <v>304.3</v>
      </c>
      <c r="K84" s="0" t="n">
        <v>316.5</v>
      </c>
      <c r="L84" s="0" t="n">
        <v>304.5</v>
      </c>
      <c r="M84" s="0" t="n">
        <v>307.1</v>
      </c>
      <c r="N84" s="0" t="n">
        <v>303.9</v>
      </c>
      <c r="O84" s="0" t="n">
        <v>308.5</v>
      </c>
      <c r="P84" s="0" t="n">
        <v>305.5</v>
      </c>
      <c r="Q84" s="0" t="n">
        <v>315</v>
      </c>
      <c r="R84" s="0" t="n">
        <v>306.9</v>
      </c>
      <c r="S84" s="0" t="n">
        <v>305.7</v>
      </c>
      <c r="T84" s="0" t="n">
        <v>302.4</v>
      </c>
      <c r="U84" s="0" t="n">
        <v>301.4</v>
      </c>
      <c r="V84" s="0" t="n">
        <v>304</v>
      </c>
      <c r="W84" s="0" t="n">
        <v>314.4</v>
      </c>
      <c r="X84" s="6" t="n">
        <f aca="false">AVERAGE(D84:W84)</f>
        <v>304.845</v>
      </c>
      <c r="Y84" s="7" t="n">
        <f aca="false">_xlfn.STDEV.S(D84:W84)</f>
        <v>5.99503961621606</v>
      </c>
      <c r="Z84" s="7" t="n">
        <f aca="false">Y84/X84</f>
        <v>0.0196658617205992</v>
      </c>
    </row>
    <row r="85" customFormat="false" ht="16.75" hidden="false" customHeight="false" outlineLevel="0" collapsed="false">
      <c r="B85" s="4"/>
      <c r="C85" s="5" t="n">
        <v>150</v>
      </c>
      <c r="D85" s="0" t="n">
        <v>298.2</v>
      </c>
      <c r="E85" s="0" t="n">
        <v>311.3</v>
      </c>
      <c r="F85" s="0" t="n">
        <v>299.6</v>
      </c>
      <c r="G85" s="0" t="n">
        <v>305.9</v>
      </c>
      <c r="H85" s="0" t="n">
        <v>292.6</v>
      </c>
      <c r="I85" s="0" t="n">
        <v>305.2</v>
      </c>
      <c r="J85" s="0" t="n">
        <v>296</v>
      </c>
      <c r="K85" s="0" t="n">
        <v>298</v>
      </c>
      <c r="L85" s="0" t="n">
        <v>309.3</v>
      </c>
      <c r="M85" s="0" t="n">
        <v>289.7</v>
      </c>
      <c r="N85" s="0" t="n">
        <v>314</v>
      </c>
      <c r="O85" s="0" t="n">
        <v>305.2</v>
      </c>
      <c r="P85" s="0" t="n">
        <v>297.9</v>
      </c>
      <c r="Q85" s="0" t="n">
        <v>297</v>
      </c>
      <c r="R85" s="0" t="n">
        <v>304.3</v>
      </c>
      <c r="S85" s="0" t="n">
        <v>307.9</v>
      </c>
      <c r="T85" s="0" t="n">
        <v>306.1</v>
      </c>
      <c r="U85" s="0" t="n">
        <v>305.8</v>
      </c>
      <c r="V85" s="0" t="n">
        <v>299.8</v>
      </c>
      <c r="W85" s="0" t="n">
        <v>300.3</v>
      </c>
      <c r="X85" s="6" t="n">
        <f aca="false">AVERAGE(D85:W85)</f>
        <v>302.205</v>
      </c>
      <c r="Y85" s="7" t="n">
        <f aca="false">_xlfn.STDEV.S(D85:W85)</f>
        <v>6.28854221246027</v>
      </c>
      <c r="Z85" s="7" t="n">
        <f aca="false">Y85/X85</f>
        <v>0.0208088622374225</v>
      </c>
    </row>
    <row r="86" customFormat="false" ht="15" hidden="false" customHeight="true" outlineLevel="0" collapsed="false">
      <c r="A86" s="1" t="s">
        <v>39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342.1</v>
      </c>
      <c r="E91" s="0" t="n">
        <v>345.9</v>
      </c>
      <c r="F91" s="0" t="n">
        <v>347.2</v>
      </c>
      <c r="G91" s="0" t="n">
        <v>351.2</v>
      </c>
      <c r="H91" s="0" t="n">
        <v>351</v>
      </c>
      <c r="I91" s="0" t="n">
        <v>351.2</v>
      </c>
      <c r="J91" s="0" t="n">
        <v>346.1</v>
      </c>
      <c r="K91" s="0" t="n">
        <v>343.9</v>
      </c>
      <c r="L91" s="0" t="n">
        <v>349.5</v>
      </c>
      <c r="M91" s="0" t="n">
        <v>346.7</v>
      </c>
      <c r="N91" s="0" t="n">
        <v>349.7</v>
      </c>
      <c r="O91" s="0" t="n">
        <v>347</v>
      </c>
      <c r="P91" s="0" t="n">
        <v>346.1</v>
      </c>
      <c r="Q91" s="0" t="n">
        <v>343.1</v>
      </c>
      <c r="R91" s="0" t="n">
        <v>339.6</v>
      </c>
      <c r="S91" s="0" t="n">
        <v>345</v>
      </c>
      <c r="T91" s="0" t="n">
        <v>346.2</v>
      </c>
      <c r="U91" s="0" t="n">
        <v>348.5</v>
      </c>
      <c r="V91" s="0" t="n">
        <v>349.9</v>
      </c>
      <c r="W91" s="0" t="n">
        <v>348.5</v>
      </c>
      <c r="X91" s="6" t="n">
        <f aca="false">AVERAGE(D91:W91)</f>
        <v>346.92</v>
      </c>
      <c r="Y91" s="7" t="n">
        <f aca="false">_xlfn.STDEV.S(D91:W91)</f>
        <v>3.15220891639998</v>
      </c>
      <c r="Z91" s="7" t="n">
        <f aca="false">Y91/X91</f>
        <v>0.00908627036896108</v>
      </c>
    </row>
    <row r="92" customFormat="false" ht="16.75" hidden="false" customHeight="false" outlineLevel="0" collapsed="false">
      <c r="B92" s="4"/>
      <c r="C92" s="5" t="n">
        <v>25</v>
      </c>
      <c r="D92" s="0" t="n">
        <v>345</v>
      </c>
      <c r="E92" s="0" t="n">
        <v>344.5</v>
      </c>
      <c r="F92" s="0" t="n">
        <v>348.6</v>
      </c>
      <c r="G92" s="0" t="n">
        <v>345.9</v>
      </c>
      <c r="H92" s="0" t="n">
        <v>346.3</v>
      </c>
      <c r="I92" s="0" t="n">
        <v>339.9</v>
      </c>
      <c r="J92" s="0" t="n">
        <v>347.3</v>
      </c>
      <c r="K92" s="0" t="n">
        <v>344.8</v>
      </c>
      <c r="L92" s="0" t="n">
        <v>342.8</v>
      </c>
      <c r="M92" s="0" t="n">
        <v>345.1</v>
      </c>
      <c r="N92" s="0" t="n">
        <v>348.9</v>
      </c>
      <c r="O92" s="0" t="n">
        <v>347.3</v>
      </c>
      <c r="P92" s="0" t="n">
        <v>345.9</v>
      </c>
      <c r="Q92" s="0" t="n">
        <v>340.7</v>
      </c>
      <c r="R92" s="0" t="n">
        <v>345.7</v>
      </c>
      <c r="S92" s="0" t="n">
        <v>344.3</v>
      </c>
      <c r="T92" s="0" t="n">
        <v>347.5</v>
      </c>
      <c r="U92" s="0" t="n">
        <v>346.8</v>
      </c>
      <c r="V92" s="0" t="n">
        <v>345.5</v>
      </c>
      <c r="W92" s="0" t="n">
        <v>339.3</v>
      </c>
      <c r="X92" s="6" t="n">
        <f aca="false">AVERAGE(D92:W92)</f>
        <v>345.105</v>
      </c>
      <c r="Y92" s="7" t="n">
        <f aca="false">_xlfn.STDEV.S(D92:W92)</f>
        <v>2.66250277983547</v>
      </c>
      <c r="Z92" s="7" t="n">
        <f aca="false">Y92/X92</f>
        <v>0.00771505130274979</v>
      </c>
    </row>
    <row r="93" customFormat="false" ht="16.75" hidden="false" customHeight="false" outlineLevel="0" collapsed="false">
      <c r="B93" s="4"/>
      <c r="C93" s="5" t="n">
        <v>38</v>
      </c>
      <c r="D93" s="0" t="n">
        <v>339.6</v>
      </c>
      <c r="E93" s="0" t="n">
        <v>336.1</v>
      </c>
      <c r="F93" s="0" t="n">
        <v>343.7</v>
      </c>
      <c r="G93" s="0" t="n">
        <v>341.5</v>
      </c>
      <c r="H93" s="0" t="n">
        <v>340.5</v>
      </c>
      <c r="I93" s="0" t="n">
        <v>339</v>
      </c>
      <c r="J93" s="0" t="n">
        <v>337.3</v>
      </c>
      <c r="K93" s="0" t="n">
        <v>337.5</v>
      </c>
      <c r="L93" s="0" t="n">
        <v>339.6</v>
      </c>
      <c r="M93" s="0" t="n">
        <v>341.5</v>
      </c>
      <c r="N93" s="0" t="n">
        <v>340.4</v>
      </c>
      <c r="O93" s="0" t="n">
        <v>334.4</v>
      </c>
      <c r="P93" s="0" t="n">
        <v>340.8</v>
      </c>
      <c r="Q93" s="0" t="n">
        <v>337.5</v>
      </c>
      <c r="R93" s="0" t="n">
        <v>334.4</v>
      </c>
      <c r="S93" s="0" t="n">
        <v>336.6</v>
      </c>
      <c r="T93" s="0" t="n">
        <v>334.9</v>
      </c>
      <c r="U93" s="0" t="n">
        <v>335.9</v>
      </c>
      <c r="V93" s="0" t="n">
        <v>336.2</v>
      </c>
      <c r="W93" s="0" t="n">
        <v>344.9</v>
      </c>
      <c r="X93" s="6" t="n">
        <f aca="false">AVERAGE(D93:W93)</f>
        <v>338.615</v>
      </c>
      <c r="Y93" s="7" t="n">
        <f aca="false">_xlfn.STDEV.S(D93:W93)</f>
        <v>3.01527252848771</v>
      </c>
      <c r="Z93" s="7" t="n">
        <f aca="false">Y93/X93</f>
        <v>0.00890472226123387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307.3</v>
      </c>
      <c r="E94" s="0" t="n">
        <v>312.2</v>
      </c>
      <c r="F94" s="0" t="n">
        <v>309.9</v>
      </c>
      <c r="G94" s="0" t="n">
        <v>312.5</v>
      </c>
      <c r="H94" s="0" t="n">
        <v>310.7</v>
      </c>
      <c r="I94" s="0" t="n">
        <v>311</v>
      </c>
      <c r="J94" s="0" t="n">
        <v>306.7</v>
      </c>
      <c r="K94" s="0" t="n">
        <v>308.9</v>
      </c>
      <c r="L94" s="0" t="n">
        <v>304.8</v>
      </c>
      <c r="M94" s="0" t="n">
        <v>310.2</v>
      </c>
      <c r="N94" s="0" t="n">
        <v>316.6</v>
      </c>
      <c r="O94" s="0" t="n">
        <v>323.9</v>
      </c>
      <c r="P94" s="0" t="n">
        <v>309.4</v>
      </c>
      <c r="Q94" s="0" t="n">
        <v>306.7</v>
      </c>
      <c r="R94" s="0" t="n">
        <v>311</v>
      </c>
      <c r="S94" s="0" t="n">
        <v>309.8</v>
      </c>
      <c r="T94" s="0" t="n">
        <v>337.2</v>
      </c>
      <c r="U94" s="0" t="n">
        <v>311.2</v>
      </c>
      <c r="V94" s="0" t="n">
        <v>306.2</v>
      </c>
      <c r="W94" s="0" t="n">
        <v>307.5</v>
      </c>
      <c r="X94" s="6" t="n">
        <f aca="false">AVERAGE(D94:W94)</f>
        <v>311.685</v>
      </c>
      <c r="Y94" s="7" t="n">
        <f aca="false">_xlfn.STDEV.S(D94:W94)</f>
        <v>7.30286713702588</v>
      </c>
      <c r="Z94" s="7" t="n">
        <f aca="false">Y94/X94</f>
        <v>0.0234302810113605</v>
      </c>
    </row>
    <row r="95" customFormat="false" ht="16.75" hidden="false" customHeight="false" outlineLevel="0" collapsed="false">
      <c r="B95" s="4"/>
      <c r="C95" s="5" t="n">
        <v>63</v>
      </c>
      <c r="D95" s="0" t="n">
        <v>312.8</v>
      </c>
      <c r="E95" s="0" t="n">
        <v>318.2</v>
      </c>
      <c r="F95" s="0" t="n">
        <v>327.7</v>
      </c>
      <c r="G95" s="0" t="n">
        <v>318.3</v>
      </c>
      <c r="H95" s="0" t="n">
        <v>309.1</v>
      </c>
      <c r="I95" s="0" t="n">
        <v>313.9</v>
      </c>
      <c r="J95" s="0" t="n">
        <v>315.1</v>
      </c>
      <c r="K95" s="0" t="n">
        <v>311.7</v>
      </c>
      <c r="L95" s="0" t="n">
        <v>316.6</v>
      </c>
      <c r="M95" s="0" t="n">
        <v>322.4</v>
      </c>
      <c r="N95" s="0" t="n">
        <v>318.7</v>
      </c>
      <c r="O95" s="0" t="n">
        <v>315.1</v>
      </c>
      <c r="P95" s="0" t="n">
        <v>314.2</v>
      </c>
      <c r="Q95" s="0" t="n">
        <v>311</v>
      </c>
      <c r="R95" s="0" t="n">
        <v>307.9</v>
      </c>
      <c r="S95" s="0" t="n">
        <v>308</v>
      </c>
      <c r="T95" s="0" t="n">
        <v>313</v>
      </c>
      <c r="U95" s="0" t="n">
        <v>311.7</v>
      </c>
      <c r="V95" s="0" t="n">
        <v>314</v>
      </c>
      <c r="W95" s="0" t="n">
        <v>312.9</v>
      </c>
      <c r="X95" s="6" t="n">
        <f aca="false">AVERAGE(D95:W95)</f>
        <v>314.615</v>
      </c>
      <c r="Y95" s="7" t="n">
        <f aca="false">_xlfn.STDEV.S(D95:W95)</f>
        <v>4.80452363595196</v>
      </c>
      <c r="Z95" s="7" t="n">
        <f aca="false">Y95/X95</f>
        <v>0.0152711206902149</v>
      </c>
    </row>
    <row r="96" customFormat="false" ht="16.75" hidden="false" customHeight="false" outlineLevel="0" collapsed="false">
      <c r="B96" s="4"/>
      <c r="C96" s="5" t="n">
        <v>93</v>
      </c>
      <c r="D96" s="0" t="n">
        <v>319.6</v>
      </c>
      <c r="E96" s="0" t="n">
        <v>317.6</v>
      </c>
      <c r="F96" s="0" t="n">
        <v>322.1</v>
      </c>
      <c r="G96" s="0" t="n">
        <v>314</v>
      </c>
      <c r="H96" s="0" t="n">
        <v>314.9</v>
      </c>
      <c r="I96" s="0" t="n">
        <v>317.1</v>
      </c>
      <c r="J96" s="0" t="n">
        <v>315</v>
      </c>
      <c r="K96" s="0" t="n">
        <v>336.8</v>
      </c>
      <c r="L96" s="0" t="n">
        <v>320.6</v>
      </c>
      <c r="M96" s="0" t="n">
        <v>333.5</v>
      </c>
      <c r="N96" s="0" t="n">
        <v>322.1</v>
      </c>
      <c r="O96" s="0" t="n">
        <v>324.7</v>
      </c>
      <c r="P96" s="0" t="n">
        <v>312.4</v>
      </c>
      <c r="Q96" s="0" t="n">
        <v>328.2</v>
      </c>
      <c r="R96" s="0" t="n">
        <v>318.1</v>
      </c>
      <c r="S96" s="0" t="n">
        <v>320.7</v>
      </c>
      <c r="T96" s="0" t="n">
        <v>321.8</v>
      </c>
      <c r="U96" s="0" t="n">
        <v>311.5</v>
      </c>
      <c r="V96" s="0" t="n">
        <v>318.3</v>
      </c>
      <c r="W96" s="0" t="n">
        <v>316.7</v>
      </c>
      <c r="X96" s="6" t="n">
        <f aca="false">AVERAGE(D96:W96)</f>
        <v>320.285</v>
      </c>
      <c r="Y96" s="7" t="n">
        <f aca="false">_xlfn.STDEV.S(D96:W96)</f>
        <v>6.54476689303833</v>
      </c>
      <c r="Z96" s="7" t="n">
        <f aca="false">Y96/X96</f>
        <v>0.0204341973337444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304.7</v>
      </c>
      <c r="E97" s="0" t="n">
        <v>290.9</v>
      </c>
      <c r="F97" s="0" t="n">
        <v>301.5</v>
      </c>
      <c r="G97" s="0" t="n">
        <v>297</v>
      </c>
      <c r="H97" s="0" t="n">
        <v>300.3</v>
      </c>
      <c r="I97" s="0" t="n">
        <v>292.1</v>
      </c>
      <c r="J97" s="0" t="n">
        <v>293.8</v>
      </c>
      <c r="K97" s="0" t="n">
        <v>298</v>
      </c>
      <c r="L97" s="0" t="n">
        <v>283.8</v>
      </c>
      <c r="M97" s="0" t="n">
        <v>292.3</v>
      </c>
      <c r="N97" s="0" t="n">
        <v>296.8</v>
      </c>
      <c r="O97" s="0" t="n">
        <v>295.8</v>
      </c>
      <c r="P97" s="0" t="n">
        <v>289.9</v>
      </c>
      <c r="Q97" s="0" t="n">
        <v>291.3</v>
      </c>
      <c r="R97" s="0" t="n">
        <v>293.7</v>
      </c>
      <c r="S97" s="0" t="n">
        <v>299.4</v>
      </c>
      <c r="T97" s="0" t="n">
        <v>302.3</v>
      </c>
      <c r="U97" s="0" t="n">
        <v>299.8</v>
      </c>
      <c r="V97" s="0" t="n">
        <v>299.5</v>
      </c>
      <c r="W97" s="0" t="n">
        <v>286.4</v>
      </c>
      <c r="X97" s="6" t="n">
        <f aca="false">AVERAGE(D97:W97)</f>
        <v>295.465</v>
      </c>
      <c r="Y97" s="7" t="n">
        <f aca="false">_xlfn.STDEV.S(D97:W97)</f>
        <v>5.46599776609425</v>
      </c>
      <c r="Z97" s="7" t="n">
        <f aca="false">Y97/X97</f>
        <v>0.0184996455285542</v>
      </c>
    </row>
    <row r="98" customFormat="false" ht="16.75" hidden="false" customHeight="false" outlineLevel="0" collapsed="false">
      <c r="B98" s="4"/>
      <c r="C98" s="5" t="n">
        <v>38</v>
      </c>
      <c r="D98" s="0" t="n">
        <v>287.9</v>
      </c>
      <c r="E98" s="0" t="n">
        <v>292.7</v>
      </c>
      <c r="F98" s="0" t="n">
        <v>293.7</v>
      </c>
      <c r="G98" s="0" t="n">
        <v>292.2</v>
      </c>
      <c r="H98" s="0" t="n">
        <v>288.3</v>
      </c>
      <c r="I98" s="0" t="n">
        <v>294.2</v>
      </c>
      <c r="J98" s="0" t="n">
        <v>290.2</v>
      </c>
      <c r="K98" s="0" t="n">
        <v>293.7</v>
      </c>
      <c r="L98" s="0" t="n">
        <v>286.4</v>
      </c>
      <c r="M98" s="0" t="n">
        <v>291</v>
      </c>
      <c r="N98" s="0" t="n">
        <v>293.8</v>
      </c>
      <c r="O98" s="0" t="n">
        <v>293</v>
      </c>
      <c r="P98" s="0" t="n">
        <v>294.2</v>
      </c>
      <c r="Q98" s="0" t="n">
        <v>285.4</v>
      </c>
      <c r="R98" s="0" t="n">
        <v>297.7</v>
      </c>
      <c r="S98" s="0" t="n">
        <v>307.3</v>
      </c>
      <c r="T98" s="0" t="n">
        <v>292.5</v>
      </c>
      <c r="U98" s="0" t="n">
        <v>289.2</v>
      </c>
      <c r="V98" s="0" t="n">
        <v>288.5</v>
      </c>
      <c r="W98" s="0" t="n">
        <v>296</v>
      </c>
      <c r="X98" s="6" t="n">
        <f aca="false">AVERAGE(D98:W98)</f>
        <v>292.395</v>
      </c>
      <c r="Y98" s="7" t="n">
        <f aca="false">_xlfn.STDEV.S(D98:W98)</f>
        <v>4.75554800649781</v>
      </c>
      <c r="Z98" s="7" t="n">
        <f aca="false">Y98/X98</f>
        <v>0.0162641221857344</v>
      </c>
    </row>
    <row r="99" customFormat="false" ht="16.75" hidden="false" customHeight="false" outlineLevel="0" collapsed="false">
      <c r="B99" s="4"/>
      <c r="C99" s="5" t="n">
        <v>50</v>
      </c>
      <c r="D99" s="0" t="n">
        <v>296.8</v>
      </c>
      <c r="E99" s="0" t="n">
        <v>303.8</v>
      </c>
      <c r="F99" s="0" t="n">
        <v>291.3</v>
      </c>
      <c r="G99" s="0" t="n">
        <v>298.9</v>
      </c>
      <c r="H99" s="0" t="n">
        <v>293.4</v>
      </c>
      <c r="I99" s="0" t="n">
        <v>307.5</v>
      </c>
      <c r="J99" s="0" t="n">
        <v>295</v>
      </c>
      <c r="K99" s="0" t="n">
        <v>297.2</v>
      </c>
      <c r="L99" s="0" t="n">
        <v>293.1</v>
      </c>
      <c r="M99" s="0" t="n">
        <v>286.1</v>
      </c>
      <c r="N99" s="0" t="n">
        <v>292.4</v>
      </c>
      <c r="O99" s="0" t="n">
        <v>298.1</v>
      </c>
      <c r="P99" s="0" t="n">
        <v>295</v>
      </c>
      <c r="Q99" s="0" t="n">
        <v>290</v>
      </c>
      <c r="R99" s="0" t="n">
        <v>300.3</v>
      </c>
      <c r="S99" s="0" t="n">
        <v>295.7</v>
      </c>
      <c r="T99" s="0" t="n">
        <v>292.1</v>
      </c>
      <c r="U99" s="0" t="n">
        <v>284.8</v>
      </c>
      <c r="V99" s="0" t="n">
        <v>295.7</v>
      </c>
      <c r="W99" s="0" t="n">
        <v>290.6</v>
      </c>
      <c r="X99" s="6" t="n">
        <f aca="false">AVERAGE(D99:W99)</f>
        <v>294.89</v>
      </c>
      <c r="Y99" s="7" t="n">
        <f aca="false">_xlfn.STDEV.S(D99:W99)</f>
        <v>5.41954552376954</v>
      </c>
      <c r="Z99" s="7" t="n">
        <f aca="false">Y99/X99</f>
        <v>0.0183781936443065</v>
      </c>
    </row>
    <row r="100" customFormat="false" ht="16.75" hidden="false" customHeight="false" outlineLevel="0" collapsed="false">
      <c r="B100" s="4"/>
      <c r="C100" s="5" t="n">
        <v>75</v>
      </c>
      <c r="D100" s="0" t="n">
        <v>299.9</v>
      </c>
      <c r="E100" s="0" t="n">
        <v>298.8</v>
      </c>
      <c r="F100" s="0" t="n">
        <v>302.2</v>
      </c>
      <c r="G100" s="0" t="n">
        <v>300.4</v>
      </c>
      <c r="H100" s="0" t="n">
        <v>294.2</v>
      </c>
      <c r="I100" s="0" t="n">
        <v>297.8</v>
      </c>
      <c r="J100" s="0" t="n">
        <v>300.7</v>
      </c>
      <c r="K100" s="0" t="n">
        <v>303.1</v>
      </c>
      <c r="L100" s="0" t="n">
        <v>294.6</v>
      </c>
      <c r="M100" s="0" t="n">
        <v>304</v>
      </c>
      <c r="N100" s="0" t="n">
        <v>299.6</v>
      </c>
      <c r="O100" s="0" t="n">
        <v>302.4</v>
      </c>
      <c r="P100" s="0" t="n">
        <v>298</v>
      </c>
      <c r="Q100" s="0" t="n">
        <v>302.6</v>
      </c>
      <c r="R100" s="0" t="n">
        <v>298.8</v>
      </c>
      <c r="S100" s="0" t="n">
        <v>304.6</v>
      </c>
      <c r="T100" s="0" t="n">
        <v>303.2</v>
      </c>
      <c r="U100" s="0" t="n">
        <v>300</v>
      </c>
      <c r="V100" s="0" t="n">
        <v>299.4</v>
      </c>
      <c r="W100" s="0" t="n">
        <v>296</v>
      </c>
      <c r="X100" s="6" t="n">
        <f aca="false">AVERAGE(D100:W100)</f>
        <v>300.015</v>
      </c>
      <c r="Y100" s="7" t="n">
        <f aca="false">_xlfn.STDEV.S(D100:W100)</f>
        <v>2.95639805738067</v>
      </c>
      <c r="Z100" s="7" t="n">
        <f aca="false">Y100/X100</f>
        <v>0.00985416748289476</v>
      </c>
    </row>
    <row r="101" customFormat="false" ht="16.75" hidden="false" customHeight="false" outlineLevel="0" collapsed="false">
      <c r="B101" s="4"/>
      <c r="C101" s="5" t="n">
        <v>100</v>
      </c>
      <c r="D101" s="0" t="n">
        <v>302.6</v>
      </c>
      <c r="E101" s="0" t="n">
        <v>301.2</v>
      </c>
      <c r="F101" s="0" t="n">
        <v>300.3</v>
      </c>
      <c r="G101" s="0" t="n">
        <v>299.8</v>
      </c>
      <c r="H101" s="0" t="n">
        <v>301.8</v>
      </c>
      <c r="I101" s="0" t="n">
        <v>300.9</v>
      </c>
      <c r="J101" s="0" t="n">
        <v>304.3</v>
      </c>
      <c r="K101" s="0" t="n">
        <v>295.3</v>
      </c>
      <c r="L101" s="0" t="n">
        <v>299.4</v>
      </c>
      <c r="M101" s="0" t="n">
        <v>299.1</v>
      </c>
      <c r="N101" s="0" t="n">
        <v>293.2</v>
      </c>
      <c r="O101" s="0" t="n">
        <v>303</v>
      </c>
      <c r="P101" s="0" t="n">
        <v>307.2</v>
      </c>
      <c r="Q101" s="0" t="n">
        <v>310.6</v>
      </c>
      <c r="R101" s="0" t="n">
        <v>295.7</v>
      </c>
      <c r="S101" s="0" t="n">
        <v>292.7</v>
      </c>
      <c r="T101" s="0" t="n">
        <v>303.4</v>
      </c>
      <c r="U101" s="0" t="n">
        <v>310.9</v>
      </c>
      <c r="V101" s="0" t="n">
        <v>306.3</v>
      </c>
      <c r="W101" s="0" t="n">
        <v>298.8</v>
      </c>
      <c r="X101" s="6" t="n">
        <f aca="false">AVERAGE(D101:W101)</f>
        <v>301.325</v>
      </c>
      <c r="Y101" s="7" t="n">
        <f aca="false">_xlfn.STDEV.S(D101:W101)</f>
        <v>5.03533566539093</v>
      </c>
      <c r="Z101" s="7" t="n">
        <f aca="false">Y101/X101</f>
        <v>0.0167106468610003</v>
      </c>
    </row>
    <row r="102" customFormat="false" ht="16.75" hidden="false" customHeight="false" outlineLevel="0" collapsed="false">
      <c r="B102" s="4"/>
      <c r="C102" s="5" t="n">
        <v>150</v>
      </c>
      <c r="D102" s="0" t="n">
        <v>321.4</v>
      </c>
      <c r="E102" s="0" t="n">
        <v>318.1</v>
      </c>
      <c r="F102" s="0" t="n">
        <v>312.9</v>
      </c>
      <c r="G102" s="0" t="n">
        <v>310.3</v>
      </c>
      <c r="H102" s="0" t="n">
        <v>321.5</v>
      </c>
      <c r="I102" s="0" t="n">
        <v>317.9</v>
      </c>
      <c r="J102" s="0" t="n">
        <v>317.8</v>
      </c>
      <c r="K102" s="0" t="n">
        <v>320.6</v>
      </c>
      <c r="L102" s="0" t="n">
        <v>317.6</v>
      </c>
      <c r="M102" s="0" t="n">
        <v>318.5</v>
      </c>
      <c r="N102" s="0" t="n">
        <v>304.7</v>
      </c>
      <c r="O102" s="0" t="n">
        <v>321.2</v>
      </c>
      <c r="P102" s="0" t="n">
        <v>319.2</v>
      </c>
      <c r="Q102" s="0" t="n">
        <v>312.5</v>
      </c>
      <c r="R102" s="0" t="n">
        <v>316.2</v>
      </c>
      <c r="S102" s="0" t="n">
        <v>317.3</v>
      </c>
      <c r="T102" s="0" t="n">
        <v>308.8</v>
      </c>
      <c r="U102" s="0" t="n">
        <v>317.1</v>
      </c>
      <c r="V102" s="0" t="n">
        <v>317.2</v>
      </c>
      <c r="W102" s="0" t="n">
        <v>317</v>
      </c>
      <c r="X102" s="6" t="n">
        <f aca="false">AVERAGE(D102:W102)</f>
        <v>316.39</v>
      </c>
      <c r="Y102" s="7" t="n">
        <f aca="false">_xlfn.STDEV.S(D102:W102)</f>
        <v>4.4375075982144</v>
      </c>
      <c r="Z102" s="7" t="n">
        <f aca="false">Y102/X102</f>
        <v>0.0140254356908069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2.86"/>
    <col collapsed="false" customWidth="true" hidden="false" outlineLevel="0" max="4" min="4" style="0" width="6.57"/>
    <col collapsed="false" customWidth="true" hidden="false" outlineLevel="0" max="24" min="24" style="0" width="9.42"/>
    <col collapsed="false" customWidth="true" hidden="false" outlineLevel="0" max="25" min="25" style="0" width="14.71"/>
    <col collapsed="false" customWidth="true" hidden="false" outlineLevel="0" max="26" min="26" style="0" width="12.15"/>
  </cols>
  <sheetData>
    <row r="1" customFormat="false" ht="15" hidden="false" customHeight="false" outlineLevel="0" collapsed="false">
      <c r="A1" s="1" t="s">
        <v>39</v>
      </c>
      <c r="B1" s="1"/>
      <c r="C1" s="1"/>
    </row>
    <row r="2" customFormat="false" ht="15" hidden="false" customHeight="tru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0" t="n">
        <v>728</v>
      </c>
      <c r="E6" s="0" t="n">
        <v>722.9</v>
      </c>
      <c r="F6" s="0" t="n">
        <v>739.4</v>
      </c>
      <c r="G6" s="0" t="n">
        <v>731.9</v>
      </c>
      <c r="H6" s="0" t="n">
        <v>725.3</v>
      </c>
      <c r="I6" s="0" t="n">
        <v>730.4</v>
      </c>
      <c r="J6" s="0" t="n">
        <v>737.9</v>
      </c>
      <c r="K6" s="0" t="n">
        <v>723.2</v>
      </c>
      <c r="L6" s="0" t="n">
        <v>736.5</v>
      </c>
      <c r="M6" s="0" t="n">
        <v>717.5</v>
      </c>
      <c r="N6" s="0" t="n">
        <v>720</v>
      </c>
      <c r="O6" s="0" t="n">
        <v>721.8</v>
      </c>
      <c r="P6" s="0" t="n">
        <v>726</v>
      </c>
      <c r="Q6" s="0" t="n">
        <v>742.1</v>
      </c>
      <c r="R6" s="0" t="n">
        <v>732.3</v>
      </c>
      <c r="S6" s="0" t="n">
        <v>736.1</v>
      </c>
      <c r="T6" s="0" t="n">
        <v>726.9</v>
      </c>
      <c r="U6" s="0" t="n">
        <v>720.3</v>
      </c>
      <c r="V6" s="0" t="n">
        <v>733.6</v>
      </c>
      <c r="W6" s="0" t="n">
        <v>733.8</v>
      </c>
      <c r="X6" s="6" t="n">
        <f aca="false">AVERAGE(D6:W6)</f>
        <v>729.295</v>
      </c>
      <c r="Y6" s="7" t="n">
        <f aca="false">_xlfn.STDEV.S(D6:W6)</f>
        <v>7.14175822373706</v>
      </c>
      <c r="Z6" s="7" t="n">
        <f aca="false">Y6/X6</f>
        <v>0.00979268776522128</v>
      </c>
    </row>
    <row r="7" customFormat="false" ht="16.75" hidden="false" customHeight="false" outlineLevel="0" collapsed="false">
      <c r="B7" s="4"/>
      <c r="C7" s="5" t="n">
        <v>25</v>
      </c>
      <c r="D7" s="0" t="n">
        <v>733.6</v>
      </c>
      <c r="E7" s="0" t="n">
        <v>729.8</v>
      </c>
      <c r="F7" s="0" t="n">
        <v>739.7</v>
      </c>
      <c r="G7" s="0" t="n">
        <v>739</v>
      </c>
      <c r="H7" s="0" t="n">
        <v>749.3</v>
      </c>
      <c r="I7" s="0" t="n">
        <v>730.6</v>
      </c>
      <c r="J7" s="0" t="n">
        <v>727</v>
      </c>
      <c r="K7" s="0" t="n">
        <v>722.1</v>
      </c>
      <c r="L7" s="0" t="n">
        <v>732.6</v>
      </c>
      <c r="M7" s="0" t="n">
        <v>731</v>
      </c>
      <c r="N7" s="0" t="n">
        <v>777.9</v>
      </c>
      <c r="O7" s="0" t="n">
        <v>726</v>
      </c>
      <c r="P7" s="0" t="n">
        <v>742</v>
      </c>
      <c r="Q7" s="0" t="n">
        <v>722.1</v>
      </c>
      <c r="R7" s="0" t="n">
        <v>720.3</v>
      </c>
      <c r="S7" s="0" t="n">
        <v>749</v>
      </c>
      <c r="T7" s="0" t="n">
        <v>736.9</v>
      </c>
      <c r="U7" s="0" t="n">
        <v>736.9</v>
      </c>
      <c r="V7" s="0" t="n">
        <v>725</v>
      </c>
      <c r="W7" s="0" t="n">
        <v>728.1</v>
      </c>
      <c r="X7" s="6" t="n">
        <f aca="false">AVERAGE(D7:W7)</f>
        <v>734.945</v>
      </c>
      <c r="Y7" s="7" t="n">
        <f aca="false">_xlfn.STDEV.S(D7:W7)</f>
        <v>13.0722476221473</v>
      </c>
      <c r="Z7" s="7" t="n">
        <f aca="false">Y7/X7</f>
        <v>0.0177867018921788</v>
      </c>
    </row>
    <row r="8" customFormat="false" ht="16.75" hidden="false" customHeight="false" outlineLevel="0" collapsed="false">
      <c r="B8" s="4"/>
      <c r="C8" s="5" t="n">
        <v>38</v>
      </c>
      <c r="D8" s="0" t="n">
        <v>736.5</v>
      </c>
      <c r="E8" s="0" t="n">
        <v>731</v>
      </c>
      <c r="F8" s="0" t="n">
        <v>736.7</v>
      </c>
      <c r="G8" s="0" t="n">
        <v>726.8</v>
      </c>
      <c r="H8" s="0" t="n">
        <v>734.9</v>
      </c>
      <c r="I8" s="0" t="n">
        <v>739.1</v>
      </c>
      <c r="J8" s="0" t="n">
        <v>736.5</v>
      </c>
      <c r="K8" s="0" t="n">
        <v>736.8</v>
      </c>
      <c r="L8" s="0" t="n">
        <v>731.3</v>
      </c>
      <c r="M8" s="0" t="n">
        <v>728.8</v>
      </c>
      <c r="N8" s="0" t="n">
        <v>734.8</v>
      </c>
      <c r="O8" s="0" t="n">
        <v>732.2</v>
      </c>
      <c r="P8" s="0" t="n">
        <v>740.4</v>
      </c>
      <c r="Q8" s="0" t="n">
        <v>720.4</v>
      </c>
      <c r="R8" s="0" t="n">
        <v>735.9</v>
      </c>
      <c r="S8" s="0" t="n">
        <v>738</v>
      </c>
      <c r="T8" s="0" t="n">
        <v>739.3</v>
      </c>
      <c r="U8" s="0" t="n">
        <v>726.2</v>
      </c>
      <c r="V8" s="0" t="n">
        <v>726.2</v>
      </c>
      <c r="W8" s="0" t="n">
        <v>734.9</v>
      </c>
      <c r="X8" s="6" t="n">
        <f aca="false">AVERAGE(D8:W8)</f>
        <v>733.335</v>
      </c>
      <c r="Y8" s="7" t="n">
        <f aca="false">_xlfn.STDEV.S(D8:W8)</f>
        <v>5.3349172538347</v>
      </c>
      <c r="Z8" s="7" t="n">
        <f aca="false">Y8/X8</f>
        <v>0.00727487063052315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0" t="n">
        <v>708.4</v>
      </c>
      <c r="E9" s="0" t="n">
        <v>710.7</v>
      </c>
      <c r="F9" s="0" t="n">
        <v>719.1</v>
      </c>
      <c r="G9" s="0" t="n">
        <v>696.8</v>
      </c>
      <c r="H9" s="0" t="n">
        <v>688.3</v>
      </c>
      <c r="I9" s="0" t="n">
        <v>713.2</v>
      </c>
      <c r="J9" s="0" t="n">
        <v>687.1</v>
      </c>
      <c r="K9" s="0" t="n">
        <v>698.7</v>
      </c>
      <c r="L9" s="0" t="n">
        <v>696</v>
      </c>
      <c r="M9" s="0" t="n">
        <v>707</v>
      </c>
      <c r="N9" s="0" t="n">
        <v>701.4</v>
      </c>
      <c r="O9" s="0" t="n">
        <v>689.5</v>
      </c>
      <c r="P9" s="0" t="n">
        <v>709.3</v>
      </c>
      <c r="Q9" s="0" t="n">
        <v>705.6</v>
      </c>
      <c r="R9" s="0" t="n">
        <v>710.2</v>
      </c>
      <c r="S9" s="0" t="n">
        <v>713.6</v>
      </c>
      <c r="T9" s="0" t="n">
        <v>697.7</v>
      </c>
      <c r="U9" s="0" t="n">
        <v>698.2</v>
      </c>
      <c r="V9" s="0" t="n">
        <v>709.9</v>
      </c>
      <c r="W9" s="0" t="n">
        <v>687</v>
      </c>
      <c r="X9" s="6" t="n">
        <f aca="false">AVERAGE(D9:W9)</f>
        <v>702.385</v>
      </c>
      <c r="Y9" s="7" t="n">
        <f aca="false">_xlfn.STDEV.S(D9:W9)</f>
        <v>9.69309439484464</v>
      </c>
      <c r="Z9" s="7" t="n">
        <f aca="false">Y9/X9</f>
        <v>0.0138002582555787</v>
      </c>
    </row>
    <row r="10" customFormat="false" ht="16.75" hidden="false" customHeight="false" outlineLevel="0" collapsed="false">
      <c r="B10" s="4"/>
      <c r="C10" s="5" t="n">
        <v>63</v>
      </c>
      <c r="D10" s="0" t="n">
        <v>702.7</v>
      </c>
      <c r="E10" s="0" t="n">
        <v>661.8</v>
      </c>
      <c r="F10" s="0" t="n">
        <v>695.3</v>
      </c>
      <c r="G10" s="0" t="n">
        <v>727.9</v>
      </c>
      <c r="H10" s="0" t="n">
        <v>712.9</v>
      </c>
      <c r="I10" s="0" t="n">
        <v>694</v>
      </c>
      <c r="J10" s="0" t="n">
        <v>719.9</v>
      </c>
      <c r="K10" s="0" t="n">
        <v>693.8</v>
      </c>
      <c r="L10" s="0" t="n">
        <v>709.4</v>
      </c>
      <c r="M10" s="0" t="n">
        <v>697.2</v>
      </c>
      <c r="N10" s="0" t="n">
        <v>710.8</v>
      </c>
      <c r="O10" s="0" t="n">
        <v>725.5</v>
      </c>
      <c r="P10" s="0" t="n">
        <v>711.3</v>
      </c>
      <c r="Q10" s="0" t="n">
        <v>726.5</v>
      </c>
      <c r="R10" s="0" t="n">
        <v>680.1</v>
      </c>
      <c r="S10" s="0" t="n">
        <v>702.5</v>
      </c>
      <c r="T10" s="0" t="n">
        <v>680.3</v>
      </c>
      <c r="U10" s="0" t="n">
        <v>721.7</v>
      </c>
      <c r="V10" s="0" t="n">
        <v>716.3</v>
      </c>
      <c r="W10" s="0" t="n">
        <v>687.6</v>
      </c>
      <c r="X10" s="6" t="n">
        <f aca="false">AVERAGE(D10:W10)</f>
        <v>703.875</v>
      </c>
      <c r="Y10" s="7" t="n">
        <f aca="false">_xlfn.STDEV.S(D10:W10)</f>
        <v>17.7368149695248</v>
      </c>
      <c r="Z10" s="7" t="n">
        <f aca="false">Y10/X10</f>
        <v>0.0251988136665243</v>
      </c>
    </row>
    <row r="11" customFormat="false" ht="16.75" hidden="false" customHeight="false" outlineLevel="0" collapsed="false">
      <c r="B11" s="4"/>
      <c r="C11" s="5" t="n">
        <v>93</v>
      </c>
      <c r="D11" s="0" t="n">
        <v>585.8</v>
      </c>
      <c r="E11" s="0" t="n">
        <v>636.8</v>
      </c>
      <c r="F11" s="0" t="n">
        <v>723.2</v>
      </c>
      <c r="G11" s="0" t="n">
        <v>598.8</v>
      </c>
      <c r="H11" s="0" t="n">
        <v>609.4</v>
      </c>
      <c r="I11" s="0" t="n">
        <v>581.6</v>
      </c>
      <c r="J11" s="0" t="n">
        <v>715.8</v>
      </c>
      <c r="K11" s="0" t="n">
        <v>725.3</v>
      </c>
      <c r="L11" s="0" t="n">
        <v>571.8</v>
      </c>
      <c r="M11" s="0" t="n">
        <v>686.3</v>
      </c>
      <c r="N11" s="0" t="n">
        <v>674.3</v>
      </c>
      <c r="O11" s="0" t="n">
        <v>582.4</v>
      </c>
      <c r="P11" s="0" t="n">
        <v>732.4</v>
      </c>
      <c r="Q11" s="0" t="n">
        <v>585.5</v>
      </c>
      <c r="R11" s="0" t="n">
        <v>607.3</v>
      </c>
      <c r="S11" s="0" t="n">
        <v>690</v>
      </c>
      <c r="T11" s="0" t="n">
        <v>578.7</v>
      </c>
      <c r="U11" s="0" t="n">
        <v>723.1</v>
      </c>
      <c r="V11" s="0" t="n">
        <v>730.3</v>
      </c>
      <c r="W11" s="0" t="n">
        <v>725.9</v>
      </c>
      <c r="X11" s="6" t="n">
        <f aca="false">AVERAGE(D11:W11)</f>
        <v>653.235</v>
      </c>
      <c r="Y11" s="7" t="n">
        <f aca="false">_xlfn.STDEV.S(D11:W11)</f>
        <v>64.0705144024104</v>
      </c>
      <c r="Z11" s="7" t="n">
        <f aca="false">Y11/X11</f>
        <v>0.0980818762044446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0" t="n">
        <v>599</v>
      </c>
      <c r="E12" s="0" t="n">
        <v>630.8</v>
      </c>
      <c r="F12" s="0" t="n">
        <v>659.2</v>
      </c>
      <c r="G12" s="0" t="n">
        <v>619.8</v>
      </c>
      <c r="H12" s="0" t="n">
        <v>597.8</v>
      </c>
      <c r="I12" s="0" t="n">
        <v>596</v>
      </c>
      <c r="J12" s="0" t="n">
        <v>595.4</v>
      </c>
      <c r="K12" s="0" t="n">
        <v>638.3</v>
      </c>
      <c r="L12" s="0" t="n">
        <v>582.6</v>
      </c>
      <c r="M12" s="0" t="n">
        <v>605.6</v>
      </c>
      <c r="N12" s="0" t="n">
        <v>606</v>
      </c>
      <c r="O12" s="0" t="n">
        <v>668.2</v>
      </c>
      <c r="P12" s="0" t="n">
        <v>658.4</v>
      </c>
      <c r="Q12" s="0" t="n">
        <v>543.4</v>
      </c>
      <c r="R12" s="0" t="n">
        <v>579.1</v>
      </c>
      <c r="S12" s="0" t="n">
        <v>622.5</v>
      </c>
      <c r="T12" s="0" t="n">
        <v>618.2</v>
      </c>
      <c r="U12" s="0" t="n">
        <v>614.3</v>
      </c>
      <c r="V12" s="0" t="n">
        <v>608.4</v>
      </c>
      <c r="W12" s="0" t="n">
        <v>611.4</v>
      </c>
      <c r="X12" s="6" t="n">
        <f aca="false">AVERAGE(D12:W12)</f>
        <v>612.72</v>
      </c>
      <c r="Y12" s="7" t="n">
        <f aca="false">_xlfn.STDEV.S(D12:W12)</f>
        <v>29.4100161957041</v>
      </c>
      <c r="Z12" s="7" t="n">
        <f aca="false">Y12/X12</f>
        <v>0.0479991124750361</v>
      </c>
    </row>
    <row r="13" customFormat="false" ht="16.75" hidden="false" customHeight="false" outlineLevel="0" collapsed="false">
      <c r="B13" s="4"/>
      <c r="C13" s="5" t="n">
        <v>38</v>
      </c>
      <c r="D13" s="0" t="n">
        <v>683.4</v>
      </c>
      <c r="E13" s="0" t="n">
        <v>664.1</v>
      </c>
      <c r="F13" s="0" t="n">
        <v>636.1</v>
      </c>
      <c r="G13" s="0" t="n">
        <v>684.6</v>
      </c>
      <c r="H13" s="0" t="n">
        <v>683.4</v>
      </c>
      <c r="I13" s="0" t="n">
        <v>699.4</v>
      </c>
      <c r="J13" s="0" t="n">
        <v>664.4</v>
      </c>
      <c r="K13" s="0" t="n">
        <v>664.9</v>
      </c>
      <c r="L13" s="0" t="n">
        <v>655.2</v>
      </c>
      <c r="M13" s="0" t="n">
        <v>670.1</v>
      </c>
      <c r="N13" s="0" t="n">
        <v>672.3</v>
      </c>
      <c r="O13" s="0" t="n">
        <v>666.1</v>
      </c>
      <c r="P13" s="0" t="n">
        <v>665.3</v>
      </c>
      <c r="Q13" s="0" t="n">
        <v>650.8</v>
      </c>
      <c r="R13" s="0" t="n">
        <v>666.2</v>
      </c>
      <c r="S13" s="0" t="n">
        <v>670.8</v>
      </c>
      <c r="T13" s="0" t="n">
        <v>672.9</v>
      </c>
      <c r="U13" s="0" t="n">
        <v>639.8</v>
      </c>
      <c r="V13" s="0" t="n">
        <v>661.8</v>
      </c>
      <c r="W13" s="0" t="n">
        <v>651</v>
      </c>
      <c r="X13" s="6" t="n">
        <f aca="false">AVERAGE(D13:W13)</f>
        <v>666.13</v>
      </c>
      <c r="Y13" s="7" t="n">
        <f aca="false">_xlfn.STDEV.S(D13:W13)</f>
        <v>15.1701611551652</v>
      </c>
      <c r="Z13" s="7" t="n">
        <f aca="false">Y13/X13</f>
        <v>0.0227735744601883</v>
      </c>
    </row>
    <row r="14" customFormat="false" ht="16.75" hidden="false" customHeight="false" outlineLevel="0" collapsed="false">
      <c r="B14" s="4"/>
      <c r="C14" s="5" t="n">
        <v>50</v>
      </c>
      <c r="D14" s="0" t="n">
        <v>659.2</v>
      </c>
      <c r="E14" s="0" t="n">
        <v>661.5</v>
      </c>
      <c r="F14" s="0" t="n">
        <v>660</v>
      </c>
      <c r="G14" s="0" t="n">
        <v>658.5</v>
      </c>
      <c r="H14" s="0" t="n">
        <v>666.8</v>
      </c>
      <c r="I14" s="0" t="n">
        <v>651.9</v>
      </c>
      <c r="J14" s="0" t="n">
        <v>660</v>
      </c>
      <c r="K14" s="0" t="n">
        <v>657.3</v>
      </c>
      <c r="L14" s="0" t="n">
        <v>640.5</v>
      </c>
      <c r="M14" s="0" t="n">
        <v>671.2</v>
      </c>
      <c r="N14" s="0" t="n">
        <v>657.6</v>
      </c>
      <c r="O14" s="0" t="n">
        <v>650.8</v>
      </c>
      <c r="P14" s="0" t="n">
        <v>659.2</v>
      </c>
      <c r="Q14" s="0" t="n">
        <v>687.1</v>
      </c>
      <c r="R14" s="0" t="n">
        <v>661.7</v>
      </c>
      <c r="S14" s="0" t="n">
        <v>684.8</v>
      </c>
      <c r="T14" s="0" t="n">
        <v>671.2</v>
      </c>
      <c r="U14" s="0" t="n">
        <v>661.7</v>
      </c>
      <c r="V14" s="0" t="n">
        <v>663.4</v>
      </c>
      <c r="W14" s="0" t="n">
        <v>667.9</v>
      </c>
      <c r="X14" s="6" t="n">
        <f aca="false">AVERAGE(D14:W14)</f>
        <v>662.615</v>
      </c>
      <c r="Y14" s="7" t="n">
        <f aca="false">_xlfn.STDEV.S(D14:W14)</f>
        <v>10.6100386923249</v>
      </c>
      <c r="Z14" s="7" t="n">
        <f aca="false">Y14/X14</f>
        <v>0.0160123732368342</v>
      </c>
    </row>
    <row r="15" customFormat="false" ht="16.75" hidden="false" customHeight="false" outlineLevel="0" collapsed="false">
      <c r="B15" s="4"/>
      <c r="C15" s="5" t="n">
        <v>75</v>
      </c>
      <c r="D15" s="0" t="n">
        <v>650.1</v>
      </c>
      <c r="E15" s="0" t="n">
        <v>674.3</v>
      </c>
      <c r="F15" s="0" t="n">
        <v>640.3</v>
      </c>
      <c r="G15" s="0" t="n">
        <v>666.9</v>
      </c>
      <c r="H15" s="0" t="n">
        <v>626.1</v>
      </c>
      <c r="I15" s="0" t="n">
        <v>626.2</v>
      </c>
      <c r="J15" s="0" t="n">
        <v>685.1</v>
      </c>
      <c r="K15" s="0" t="n">
        <v>638.4</v>
      </c>
      <c r="L15" s="0" t="n">
        <v>598.6</v>
      </c>
      <c r="M15" s="0" t="n">
        <v>672.6</v>
      </c>
      <c r="N15" s="0" t="n">
        <v>626.6</v>
      </c>
      <c r="O15" s="0" t="n">
        <v>667.6</v>
      </c>
      <c r="P15" s="0" t="n">
        <v>659.6</v>
      </c>
      <c r="Q15" s="0" t="n">
        <v>635.8</v>
      </c>
      <c r="R15" s="0" t="n">
        <v>669.9</v>
      </c>
      <c r="S15" s="0" t="n">
        <v>675</v>
      </c>
      <c r="T15" s="0" t="n">
        <v>669.3</v>
      </c>
      <c r="U15" s="0" t="n">
        <v>641.5</v>
      </c>
      <c r="V15" s="0" t="n">
        <v>691</v>
      </c>
      <c r="W15" s="0" t="n">
        <v>631.6</v>
      </c>
      <c r="X15" s="6" t="n">
        <f aca="false">AVERAGE(D15:W15)</f>
        <v>652.325</v>
      </c>
      <c r="Y15" s="7" t="n">
        <f aca="false">_xlfn.STDEV.S(D15:W15)</f>
        <v>24.2307519921537</v>
      </c>
      <c r="Z15" s="7" t="n">
        <f aca="false">Y15/X15</f>
        <v>0.0371452144132967</v>
      </c>
    </row>
    <row r="16" customFormat="false" ht="16.75" hidden="false" customHeight="false" outlineLevel="0" collapsed="false">
      <c r="B16" s="4"/>
      <c r="C16" s="5" t="n">
        <v>100</v>
      </c>
      <c r="D16" s="0" t="n">
        <v>689.3</v>
      </c>
      <c r="E16" s="0" t="n">
        <v>672.3</v>
      </c>
      <c r="F16" s="0" t="n">
        <v>588.5</v>
      </c>
      <c r="G16" s="0" t="n">
        <v>578.1</v>
      </c>
      <c r="H16" s="0" t="n">
        <v>563.1</v>
      </c>
      <c r="I16" s="0" t="n">
        <v>558.3</v>
      </c>
      <c r="J16" s="0" t="n">
        <v>589</v>
      </c>
      <c r="K16" s="0" t="n">
        <v>677.6</v>
      </c>
      <c r="L16" s="0" t="n">
        <v>617.8</v>
      </c>
      <c r="M16" s="0" t="n">
        <v>604.6</v>
      </c>
      <c r="N16" s="0" t="n">
        <v>686.3</v>
      </c>
      <c r="O16" s="0" t="n">
        <v>640.4</v>
      </c>
      <c r="P16" s="0" t="n">
        <v>596</v>
      </c>
      <c r="Q16" s="0" t="n">
        <v>585.2</v>
      </c>
      <c r="R16" s="0" t="n">
        <v>606.6</v>
      </c>
      <c r="S16" s="0" t="n">
        <v>611.5</v>
      </c>
      <c r="T16" s="0" t="n">
        <v>672.4</v>
      </c>
      <c r="U16" s="0" t="n">
        <v>669.4</v>
      </c>
      <c r="V16" s="0" t="n">
        <v>628.9</v>
      </c>
      <c r="W16" s="0" t="n">
        <v>602.8</v>
      </c>
      <c r="X16" s="6" t="n">
        <f aca="false">AVERAGE(D16:W16)</f>
        <v>621.905</v>
      </c>
      <c r="Y16" s="7" t="n">
        <f aca="false">_xlfn.STDEV.S(D16:W16)</f>
        <v>42.4203212846713</v>
      </c>
      <c r="Z16" s="7" t="n">
        <f aca="false">Y16/X16</f>
        <v>0.0682102914185789</v>
      </c>
    </row>
    <row r="17" customFormat="false" ht="16.75" hidden="false" customHeight="false" outlineLevel="0" collapsed="false">
      <c r="B17" s="4"/>
      <c r="C17" s="5" t="n">
        <v>150</v>
      </c>
      <c r="D17" s="0" t="n">
        <v>589.5</v>
      </c>
      <c r="E17" s="0" t="n">
        <v>613.4</v>
      </c>
      <c r="F17" s="0" t="n">
        <v>534.4</v>
      </c>
      <c r="G17" s="0" t="n">
        <v>554</v>
      </c>
      <c r="H17" s="0" t="n">
        <v>666.8</v>
      </c>
      <c r="I17" s="0" t="n">
        <v>643.8</v>
      </c>
      <c r="J17" s="0" t="n">
        <v>644.2</v>
      </c>
      <c r="K17" s="0" t="n">
        <v>565.6</v>
      </c>
      <c r="L17" s="0" t="n">
        <v>674.7</v>
      </c>
      <c r="M17" s="0" t="n">
        <v>582.4</v>
      </c>
      <c r="N17" s="0" t="n">
        <v>599.5</v>
      </c>
      <c r="O17" s="0" t="n">
        <v>686.2</v>
      </c>
      <c r="P17" s="0" t="n">
        <v>569.6</v>
      </c>
      <c r="Q17" s="0" t="n">
        <v>590.3</v>
      </c>
      <c r="R17" s="0" t="n">
        <v>660.6</v>
      </c>
      <c r="S17" s="0" t="n">
        <v>682.6</v>
      </c>
      <c r="T17" s="0" t="n">
        <v>627.5</v>
      </c>
      <c r="U17" s="0" t="n">
        <v>685.9</v>
      </c>
      <c r="V17" s="0" t="n">
        <v>657.8</v>
      </c>
      <c r="W17" s="0" t="n">
        <v>566.3</v>
      </c>
      <c r="X17" s="6" t="n">
        <f aca="false">AVERAGE(D17:W17)</f>
        <v>619.755</v>
      </c>
      <c r="Y17" s="7" t="n">
        <f aca="false">_xlfn.STDEV.S(D17:W17)</f>
        <v>49.1330896647056</v>
      </c>
      <c r="Z17" s="7" t="n">
        <f aca="false">Y17/X17</f>
        <v>0.079278246508226</v>
      </c>
    </row>
    <row r="18" customFormat="false" ht="15" hidden="false" customHeight="true" outlineLevel="0" collapsed="false">
      <c r="A18" s="1" t="s">
        <v>39</v>
      </c>
      <c r="B18" s="1"/>
      <c r="C18" s="1"/>
    </row>
    <row r="19" customFormat="false" ht="15" hidden="false" customHeight="false" outlineLevel="0" collapsed="false">
      <c r="A19" s="1"/>
      <c r="B19" s="1"/>
      <c r="C19" s="1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9.85" hidden="false" customHeight="false" outlineLevel="0" collapsed="false"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</row>
    <row r="23" customFormat="false" ht="16.75" hidden="false" customHeight="false" outlineLevel="0" collapsed="false">
      <c r="B23" s="4" t="n">
        <v>25</v>
      </c>
      <c r="C23" s="5" t="n">
        <v>13</v>
      </c>
      <c r="D23" s="0" t="n">
        <v>740.1</v>
      </c>
      <c r="E23" s="0" t="n">
        <v>755.6</v>
      </c>
      <c r="F23" s="0" t="n">
        <v>741.9</v>
      </c>
      <c r="G23" s="0" t="n">
        <v>748.1</v>
      </c>
      <c r="H23" s="0" t="n">
        <v>746.6</v>
      </c>
      <c r="I23" s="0" t="n">
        <v>742.6</v>
      </c>
      <c r="J23" s="0" t="n">
        <v>745.7</v>
      </c>
      <c r="K23" s="0" t="n">
        <v>762.1</v>
      </c>
      <c r="L23" s="0" t="n">
        <v>755</v>
      </c>
      <c r="M23" s="0" t="n">
        <v>741.7</v>
      </c>
      <c r="N23" s="0" t="n">
        <v>755.2</v>
      </c>
      <c r="O23" s="0" t="n">
        <v>740.9</v>
      </c>
      <c r="P23" s="0" t="n">
        <v>740.6</v>
      </c>
      <c r="Q23" s="0" t="n">
        <v>741.8</v>
      </c>
      <c r="R23" s="0" t="n">
        <v>756.2</v>
      </c>
      <c r="S23" s="0" t="n">
        <v>738.7</v>
      </c>
      <c r="T23" s="0" t="n">
        <v>755.8</v>
      </c>
      <c r="U23" s="0" t="n">
        <v>751.4</v>
      </c>
      <c r="V23" s="0" t="n">
        <v>737.8</v>
      </c>
      <c r="W23" s="0" t="n">
        <v>743</v>
      </c>
      <c r="X23" s="6" t="n">
        <f aca="false">AVERAGE(D23:W23)</f>
        <v>747.04</v>
      </c>
      <c r="Y23" s="7" t="n">
        <f aca="false">_xlfn.STDEV.S(D23:W23)</f>
        <v>7.30352474386242</v>
      </c>
      <c r="Z23" s="7" t="n">
        <f aca="false">Y23/X23</f>
        <v>0.00977661804436499</v>
      </c>
    </row>
    <row r="24" customFormat="false" ht="16.75" hidden="false" customHeight="false" outlineLevel="0" collapsed="false">
      <c r="B24" s="4"/>
      <c r="C24" s="5" t="n">
        <v>25</v>
      </c>
      <c r="D24" s="0" t="n">
        <v>793.4</v>
      </c>
      <c r="E24" s="0" t="n">
        <v>757.7</v>
      </c>
      <c r="F24" s="0" t="n">
        <v>761.6</v>
      </c>
      <c r="G24" s="0" t="n">
        <v>763.6</v>
      </c>
      <c r="H24" s="0" t="n">
        <v>759.6</v>
      </c>
      <c r="I24" s="0" t="n">
        <v>752.7</v>
      </c>
      <c r="J24" s="0" t="n">
        <v>752.1</v>
      </c>
      <c r="K24" s="0" t="n">
        <v>755.5</v>
      </c>
      <c r="L24" s="0" t="n">
        <v>757.6</v>
      </c>
      <c r="M24" s="0" t="n">
        <v>762.9</v>
      </c>
      <c r="N24" s="0" t="n">
        <v>761.9</v>
      </c>
      <c r="O24" s="0" t="n">
        <v>754.7</v>
      </c>
      <c r="P24" s="0" t="n">
        <v>754.2</v>
      </c>
      <c r="Q24" s="0" t="n">
        <v>762.3</v>
      </c>
      <c r="R24" s="0" t="n">
        <v>753.5</v>
      </c>
      <c r="S24" s="0" t="n">
        <v>751.5</v>
      </c>
      <c r="T24" s="0" t="n">
        <v>757.9</v>
      </c>
      <c r="U24" s="0" t="n">
        <v>780.8</v>
      </c>
      <c r="V24" s="0" t="n">
        <v>752.1</v>
      </c>
      <c r="W24" s="0" t="n">
        <v>756.1</v>
      </c>
      <c r="X24" s="6" t="n">
        <f aca="false">AVERAGE(D24:W24)</f>
        <v>760.085</v>
      </c>
      <c r="Y24" s="7" t="n">
        <f aca="false">_xlfn.STDEV.S(D24:W24)</f>
        <v>10.2245975342231</v>
      </c>
      <c r="Z24" s="7" t="n">
        <f aca="false">Y24/X24</f>
        <v>0.013451913317883</v>
      </c>
    </row>
    <row r="25" customFormat="false" ht="16.75" hidden="false" customHeight="false" outlineLevel="0" collapsed="false">
      <c r="B25" s="4"/>
      <c r="C25" s="5" t="n">
        <v>38</v>
      </c>
      <c r="D25" s="0" t="n">
        <v>765.3</v>
      </c>
      <c r="E25" s="0" t="n">
        <v>763.3</v>
      </c>
      <c r="F25" s="0" t="n">
        <v>772.4</v>
      </c>
      <c r="G25" s="0" t="n">
        <v>759.7</v>
      </c>
      <c r="H25" s="0" t="n">
        <v>808.8</v>
      </c>
      <c r="I25" s="0" t="n">
        <v>764.3</v>
      </c>
      <c r="J25" s="0" t="n">
        <v>762</v>
      </c>
      <c r="K25" s="0" t="n">
        <v>767.5</v>
      </c>
      <c r="L25" s="0" t="n">
        <v>759.6</v>
      </c>
      <c r="M25" s="0" t="n">
        <v>766.4</v>
      </c>
      <c r="N25" s="0" t="n">
        <v>775.2</v>
      </c>
      <c r="O25" s="0" t="n">
        <v>761.8</v>
      </c>
      <c r="P25" s="0" t="n">
        <v>763.1</v>
      </c>
      <c r="Q25" s="0" t="n">
        <v>763.8</v>
      </c>
      <c r="R25" s="0" t="n">
        <v>757.8</v>
      </c>
      <c r="S25" s="0" t="n">
        <v>763.2</v>
      </c>
      <c r="T25" s="0" t="n">
        <v>761.8</v>
      </c>
      <c r="U25" s="0" t="n">
        <v>757.6</v>
      </c>
      <c r="V25" s="0" t="n">
        <v>753.5</v>
      </c>
      <c r="W25" s="0" t="n">
        <v>769.1</v>
      </c>
      <c r="X25" s="6" t="n">
        <f aca="false">AVERAGE(D25:W25)</f>
        <v>765.81</v>
      </c>
      <c r="Y25" s="7" t="n">
        <f aca="false">_xlfn.STDEV.S(D25:W25)</f>
        <v>11.3008569772851</v>
      </c>
      <c r="Z25" s="7" t="n">
        <f aca="false">Y25/X25</f>
        <v>0.0147567372811599</v>
      </c>
    </row>
    <row r="26" customFormat="false" ht="16.75" hidden="false" customHeight="false" outlineLevel="0" collapsed="false">
      <c r="B26" s="4" t="n">
        <v>63</v>
      </c>
      <c r="C26" s="5" t="n">
        <v>31</v>
      </c>
      <c r="D26" s="0" t="n">
        <v>711.2</v>
      </c>
      <c r="E26" s="0" t="n">
        <v>712.1</v>
      </c>
      <c r="F26" s="0" t="n">
        <v>699.4</v>
      </c>
      <c r="G26" s="0" t="n">
        <v>759.7</v>
      </c>
      <c r="H26" s="0" t="n">
        <v>694.4</v>
      </c>
      <c r="I26" s="0" t="n">
        <v>692.3</v>
      </c>
      <c r="J26" s="0" t="n">
        <v>718.4</v>
      </c>
      <c r="K26" s="0" t="n">
        <v>698.7</v>
      </c>
      <c r="L26" s="0" t="n">
        <v>697.4</v>
      </c>
      <c r="M26" s="0" t="n">
        <v>712.4</v>
      </c>
      <c r="N26" s="0" t="n">
        <v>707.9</v>
      </c>
      <c r="O26" s="0" t="n">
        <v>707.6</v>
      </c>
      <c r="P26" s="0" t="n">
        <v>691.7</v>
      </c>
      <c r="Q26" s="0" t="n">
        <v>721.1</v>
      </c>
      <c r="R26" s="0" t="n">
        <v>694.5</v>
      </c>
      <c r="S26" s="0" t="n">
        <v>751.2</v>
      </c>
      <c r="T26" s="0" t="n">
        <v>702.8</v>
      </c>
      <c r="U26" s="0" t="n">
        <v>709</v>
      </c>
      <c r="V26" s="0" t="n">
        <v>709.1</v>
      </c>
      <c r="W26" s="0" t="n">
        <v>763</v>
      </c>
      <c r="X26" s="6" t="n">
        <f aca="false">AVERAGE(D26:W26)</f>
        <v>712.695</v>
      </c>
      <c r="Y26" s="7" t="n">
        <f aca="false">_xlfn.STDEV.S(D26:W26)</f>
        <v>21.3135359757473</v>
      </c>
      <c r="Z26" s="7" t="n">
        <f aca="false">Y26/X26</f>
        <v>0.029905550025954</v>
      </c>
      <c r="AM26" s="0" t="n">
        <v>732.3</v>
      </c>
      <c r="AN26" s="0" t="n">
        <v>741.7</v>
      </c>
      <c r="AO26" s="8" t="n">
        <f aca="false" t="array" ref="AO26:BH27">TRANSPOSE(AM26:AN45)</f>
        <v>732.3</v>
      </c>
      <c r="AP26" s="8" t="n">
        <v>736.4</v>
      </c>
      <c r="AQ26" s="8" t="n">
        <v>739.7</v>
      </c>
      <c r="AR26" s="8" t="n">
        <v>736.8</v>
      </c>
      <c r="AS26" s="8" t="n">
        <v>733</v>
      </c>
      <c r="AT26" s="8" t="n">
        <v>733.7</v>
      </c>
      <c r="AU26" s="8" t="n">
        <v>739.7</v>
      </c>
      <c r="AV26" s="8" t="n">
        <v>732</v>
      </c>
      <c r="AW26" s="8" t="n">
        <v>731.3</v>
      </c>
      <c r="AX26" s="8" t="n">
        <v>736.1</v>
      </c>
      <c r="AY26" s="8" t="n">
        <v>725</v>
      </c>
      <c r="AZ26" s="8" t="n">
        <v>785.4</v>
      </c>
      <c r="BA26" s="8" t="n">
        <v>779.6</v>
      </c>
      <c r="BB26" s="8" t="n">
        <v>732.8</v>
      </c>
      <c r="BC26" s="8" t="n">
        <v>731.8</v>
      </c>
      <c r="BD26" s="8" t="n">
        <v>734.6</v>
      </c>
      <c r="BE26" s="8" t="n">
        <v>720.7</v>
      </c>
      <c r="BF26" s="8" t="n">
        <v>738.5</v>
      </c>
      <c r="BG26" s="8" t="n">
        <v>737</v>
      </c>
      <c r="BH26" s="8" t="n">
        <v>717.7</v>
      </c>
    </row>
    <row r="27" customFormat="false" ht="16.75" hidden="false" customHeight="false" outlineLevel="0" collapsed="false">
      <c r="B27" s="4"/>
      <c r="C27" s="5" t="n">
        <v>63</v>
      </c>
      <c r="D27" s="9" t="n">
        <v>732.3</v>
      </c>
      <c r="E27" s="9" t="n">
        <v>736.4</v>
      </c>
      <c r="F27" s="9" t="n">
        <v>739.7</v>
      </c>
      <c r="G27" s="9" t="n">
        <v>736.8</v>
      </c>
      <c r="H27" s="9" t="n">
        <v>733</v>
      </c>
      <c r="I27" s="9" t="n">
        <v>733.7</v>
      </c>
      <c r="J27" s="9" t="n">
        <v>739.7</v>
      </c>
      <c r="K27" s="9" t="n">
        <v>732</v>
      </c>
      <c r="L27" s="9" t="n">
        <v>731.3</v>
      </c>
      <c r="M27" s="9" t="n">
        <v>736.1</v>
      </c>
      <c r="N27" s="9" t="n">
        <v>725</v>
      </c>
      <c r="O27" s="9" t="n">
        <v>785.4</v>
      </c>
      <c r="P27" s="9" t="n">
        <v>779.6</v>
      </c>
      <c r="Q27" s="9" t="n">
        <v>732.8</v>
      </c>
      <c r="R27" s="9" t="n">
        <v>731.8</v>
      </c>
      <c r="S27" s="9" t="n">
        <v>734.6</v>
      </c>
      <c r="T27" s="9" t="n">
        <v>720.7</v>
      </c>
      <c r="U27" s="9" t="n">
        <v>738.5</v>
      </c>
      <c r="V27" s="9" t="n">
        <v>737</v>
      </c>
      <c r="W27" s="9" t="n">
        <v>717.7</v>
      </c>
      <c r="X27" s="6" t="n">
        <f aca="false">AVERAGE(D27:W27)</f>
        <v>737.705</v>
      </c>
      <c r="Y27" s="7" t="n">
        <f aca="false">_xlfn.STDEV.S(D27:W27)</f>
        <v>16.3908021382982</v>
      </c>
      <c r="Z27" s="7" t="n">
        <f aca="false">Y27/X27</f>
        <v>0.0222186404298442</v>
      </c>
      <c r="AM27" s="0" t="n">
        <v>736.4</v>
      </c>
      <c r="AN27" s="0" t="n">
        <v>739.5</v>
      </c>
      <c r="AO27" s="8" t="n">
        <v>741.7</v>
      </c>
      <c r="AP27" s="8" t="n">
        <v>739.5</v>
      </c>
      <c r="AQ27" s="8" t="n">
        <v>741.5</v>
      </c>
      <c r="AR27" s="8" t="n">
        <v>740.8</v>
      </c>
      <c r="AS27" s="8" t="n">
        <v>742.3</v>
      </c>
      <c r="AT27" s="8" t="n">
        <v>747.6</v>
      </c>
      <c r="AU27" s="8" t="n">
        <v>748.9</v>
      </c>
      <c r="AV27" s="8" t="n">
        <v>738.8</v>
      </c>
      <c r="AW27" s="8" t="n">
        <v>736.1</v>
      </c>
      <c r="AX27" s="8" t="n">
        <v>732.1</v>
      </c>
      <c r="AY27" s="8" t="n">
        <v>740.6</v>
      </c>
      <c r="AZ27" s="8" t="n">
        <v>741.6</v>
      </c>
      <c r="BA27" s="8" t="n">
        <v>732.6</v>
      </c>
      <c r="BB27" s="8" t="n">
        <v>740.1</v>
      </c>
      <c r="BC27" s="8" t="n">
        <v>740.7</v>
      </c>
      <c r="BD27" s="8" t="n">
        <v>739.8</v>
      </c>
      <c r="BE27" s="8" t="n">
        <v>734.9</v>
      </c>
      <c r="BF27" s="8" t="n">
        <v>743</v>
      </c>
      <c r="BG27" s="8" t="n">
        <v>746.6</v>
      </c>
      <c r="BH27" s="8" t="n">
        <v>738.6</v>
      </c>
    </row>
    <row r="28" customFormat="false" ht="16.75" hidden="false" customHeight="false" outlineLevel="0" collapsed="false">
      <c r="B28" s="4"/>
      <c r="C28" s="5" t="n">
        <v>93</v>
      </c>
      <c r="D28" s="0" t="n">
        <v>757.6</v>
      </c>
      <c r="E28" s="0" t="n">
        <v>750.8</v>
      </c>
      <c r="F28" s="0" t="n">
        <v>737.9</v>
      </c>
      <c r="G28" s="0" t="n">
        <v>735.4</v>
      </c>
      <c r="H28" s="0" t="n">
        <v>736.3</v>
      </c>
      <c r="I28" s="0" t="n">
        <v>752.3</v>
      </c>
      <c r="J28" s="0" t="n">
        <v>736</v>
      </c>
      <c r="K28" s="0" t="n">
        <v>748.7</v>
      </c>
      <c r="L28" s="0" t="n">
        <v>747.7</v>
      </c>
      <c r="M28" s="0" t="n">
        <v>748.9</v>
      </c>
      <c r="N28" s="0" t="n">
        <v>753.6</v>
      </c>
      <c r="O28" s="0" t="n">
        <v>752.9</v>
      </c>
      <c r="P28" s="0" t="n">
        <v>745.6</v>
      </c>
      <c r="Q28" s="0" t="n">
        <v>744.2</v>
      </c>
      <c r="R28" s="0" t="n">
        <v>733.7</v>
      </c>
      <c r="S28" s="0" t="n">
        <v>752.7</v>
      </c>
      <c r="T28" s="0" t="n">
        <v>756.5</v>
      </c>
      <c r="U28" s="0" t="n">
        <v>738.1</v>
      </c>
      <c r="V28" s="0" t="n">
        <v>734</v>
      </c>
      <c r="W28" s="0" t="n">
        <v>773.2</v>
      </c>
      <c r="X28" s="6" t="n">
        <f aca="false">AVERAGE(D28:W28)</f>
        <v>746.805</v>
      </c>
      <c r="Y28" s="7" t="n">
        <f aca="false">_xlfn.STDEV.S(D28:W28)</f>
        <v>10.0954119334113</v>
      </c>
      <c r="Z28" s="7" t="n">
        <f aca="false">Y28/X28</f>
        <v>0.0135181365060642</v>
      </c>
      <c r="AM28" s="0" t="n">
        <v>739.7</v>
      </c>
      <c r="AN28" s="0" t="n">
        <v>741.5</v>
      </c>
    </row>
    <row r="29" customFormat="false" ht="16.75" hidden="false" customHeight="false" outlineLevel="0" collapsed="false">
      <c r="B29" s="4" t="n">
        <v>100</v>
      </c>
      <c r="C29" s="5" t="n">
        <v>25</v>
      </c>
      <c r="D29" s="0" t="n">
        <v>644.6</v>
      </c>
      <c r="E29" s="0" t="n">
        <v>666.2</v>
      </c>
      <c r="F29" s="0" t="n">
        <v>664.4</v>
      </c>
      <c r="G29" s="0" t="n">
        <v>647.1</v>
      </c>
      <c r="H29" s="0" t="n">
        <v>639.2</v>
      </c>
      <c r="I29" s="0" t="n">
        <v>669.5</v>
      </c>
      <c r="J29" s="0" t="n">
        <v>652</v>
      </c>
      <c r="K29" s="0" t="n">
        <v>646.1</v>
      </c>
      <c r="L29" s="0" t="n">
        <v>646.5</v>
      </c>
      <c r="M29" s="0" t="n">
        <v>667</v>
      </c>
      <c r="N29" s="0" t="n">
        <v>643.2</v>
      </c>
      <c r="O29" s="0" t="n">
        <v>650.3</v>
      </c>
      <c r="P29" s="0" t="n">
        <v>700.1</v>
      </c>
      <c r="Q29" s="0" t="n">
        <v>660.6</v>
      </c>
      <c r="R29" s="0" t="n">
        <v>645</v>
      </c>
      <c r="S29" s="0" t="n">
        <v>683.2</v>
      </c>
      <c r="T29" s="0" t="n">
        <v>676.2</v>
      </c>
      <c r="U29" s="0" t="n">
        <v>631.5</v>
      </c>
      <c r="V29" s="0" t="n">
        <v>677.8</v>
      </c>
      <c r="W29" s="0" t="n">
        <v>656.1</v>
      </c>
      <c r="X29" s="6" t="n">
        <f aca="false">AVERAGE(D29:W29)</f>
        <v>658.33</v>
      </c>
      <c r="Y29" s="7" t="n">
        <f aca="false">_xlfn.STDEV.S(D29:W29)</f>
        <v>17.124347087054</v>
      </c>
      <c r="Z29" s="7" t="n">
        <f aca="false">Y29/X29</f>
        <v>0.026011798166655</v>
      </c>
      <c r="AM29" s="0" t="n">
        <v>736.8</v>
      </c>
      <c r="AN29" s="0" t="n">
        <v>740.8</v>
      </c>
    </row>
    <row r="30" customFormat="false" ht="16.75" hidden="false" customHeight="false" outlineLevel="0" collapsed="false">
      <c r="B30" s="4"/>
      <c r="C30" s="5" t="n">
        <v>38</v>
      </c>
      <c r="D30" s="0" t="n">
        <v>687.7</v>
      </c>
      <c r="E30" s="0" t="n">
        <v>661.5</v>
      </c>
      <c r="F30" s="0" t="n">
        <v>689.2</v>
      </c>
      <c r="G30" s="0" t="n">
        <v>698.7</v>
      </c>
      <c r="H30" s="0" t="n">
        <v>703.3</v>
      </c>
      <c r="I30" s="0" t="n">
        <v>691.5</v>
      </c>
      <c r="J30" s="0" t="n">
        <v>665.3</v>
      </c>
      <c r="K30" s="0" t="n">
        <v>698.6</v>
      </c>
      <c r="L30" s="0" t="n">
        <v>697.6</v>
      </c>
      <c r="M30" s="0" t="n">
        <v>678.3</v>
      </c>
      <c r="N30" s="0" t="n">
        <v>702.8</v>
      </c>
      <c r="O30" s="0" t="n">
        <v>711.3</v>
      </c>
      <c r="P30" s="0" t="n">
        <v>688.9</v>
      </c>
      <c r="Q30" s="0" t="n">
        <v>717.2</v>
      </c>
      <c r="R30" s="0" t="n">
        <v>683.8</v>
      </c>
      <c r="S30" s="0" t="n">
        <v>694.4</v>
      </c>
      <c r="T30" s="0" t="n">
        <v>686.7</v>
      </c>
      <c r="U30" s="0" t="n">
        <v>686.7</v>
      </c>
      <c r="V30" s="0" t="n">
        <v>676.4</v>
      </c>
      <c r="W30" s="0" t="n">
        <v>691.9</v>
      </c>
      <c r="X30" s="6" t="n">
        <f aca="false">AVERAGE(D30:W30)</f>
        <v>690.59</v>
      </c>
      <c r="Y30" s="7" t="n">
        <f aca="false">_xlfn.STDEV.S(D30:W30)</f>
        <v>13.7103073020188</v>
      </c>
      <c r="Z30" s="7" t="n">
        <f aca="false">Y30/X30</f>
        <v>0.0198530347992568</v>
      </c>
      <c r="AM30" s="0" t="n">
        <v>733</v>
      </c>
      <c r="AN30" s="0" t="n">
        <v>742.3</v>
      </c>
    </row>
    <row r="31" customFormat="false" ht="16.75" hidden="false" customHeight="false" outlineLevel="0" collapsed="false">
      <c r="B31" s="4"/>
      <c r="C31" s="5" t="n">
        <v>50</v>
      </c>
      <c r="D31" s="0" t="n">
        <v>700.8</v>
      </c>
      <c r="E31" s="0" t="n">
        <v>703.3</v>
      </c>
      <c r="F31" s="0" t="n">
        <v>699.3</v>
      </c>
      <c r="G31" s="0" t="n">
        <v>725.6</v>
      </c>
      <c r="H31" s="0" t="n">
        <v>714</v>
      </c>
      <c r="I31" s="0" t="n">
        <v>711.2</v>
      </c>
      <c r="J31" s="0" t="n">
        <v>697.9</v>
      </c>
      <c r="K31" s="0" t="n">
        <v>712.1</v>
      </c>
      <c r="L31" s="0" t="n">
        <v>667.8</v>
      </c>
      <c r="M31" s="0" t="n">
        <v>686.9</v>
      </c>
      <c r="N31" s="0" t="n">
        <v>699.1</v>
      </c>
      <c r="O31" s="0" t="n">
        <v>694.4</v>
      </c>
      <c r="P31" s="0" t="n">
        <v>689.5</v>
      </c>
      <c r="Q31" s="0" t="n">
        <v>668.3</v>
      </c>
      <c r="R31" s="0" t="n">
        <v>686.2</v>
      </c>
      <c r="S31" s="0" t="n">
        <v>701.3</v>
      </c>
      <c r="T31" s="0" t="n">
        <v>666.7</v>
      </c>
      <c r="U31" s="0" t="n">
        <v>709.8</v>
      </c>
      <c r="V31" s="0" t="n">
        <v>675.2</v>
      </c>
      <c r="W31" s="0" t="n">
        <v>710</v>
      </c>
      <c r="X31" s="6" t="n">
        <f aca="false">AVERAGE(D31:W31)</f>
        <v>695.97</v>
      </c>
      <c r="Y31" s="7" t="n">
        <f aca="false">_xlfn.STDEV.S(D31:W31)</f>
        <v>16.674408377416</v>
      </c>
      <c r="Z31" s="7" t="n">
        <f aca="false">Y31/X31</f>
        <v>0.0239585159955401</v>
      </c>
      <c r="AM31" s="0" t="n">
        <v>733.7</v>
      </c>
      <c r="AN31" s="0" t="n">
        <v>747.6</v>
      </c>
    </row>
    <row r="32" customFormat="false" ht="16.75" hidden="false" customHeight="false" outlineLevel="0" collapsed="false">
      <c r="B32" s="4"/>
      <c r="C32" s="5" t="n">
        <v>75</v>
      </c>
      <c r="D32" s="0" t="n">
        <v>690.3</v>
      </c>
      <c r="E32" s="0" t="n">
        <v>711.4</v>
      </c>
      <c r="F32" s="0" t="n">
        <v>691.1</v>
      </c>
      <c r="G32" s="0" t="n">
        <v>692.6</v>
      </c>
      <c r="H32" s="0" t="n">
        <v>685.4</v>
      </c>
      <c r="I32" s="0" t="n">
        <v>695.8</v>
      </c>
      <c r="J32" s="0" t="n">
        <v>684.2</v>
      </c>
      <c r="K32" s="0" t="n">
        <v>697.9</v>
      </c>
      <c r="L32" s="0" t="n">
        <v>688.2</v>
      </c>
      <c r="M32" s="0" t="n">
        <v>710.9</v>
      </c>
      <c r="N32" s="0" t="n">
        <v>704.2</v>
      </c>
      <c r="O32" s="0" t="n">
        <v>694.4</v>
      </c>
      <c r="P32" s="0" t="n">
        <v>706.2</v>
      </c>
      <c r="Q32" s="0" t="n">
        <v>689.5</v>
      </c>
      <c r="R32" s="0" t="n">
        <v>694.5</v>
      </c>
      <c r="S32" s="0" t="n">
        <v>703.2</v>
      </c>
      <c r="T32" s="0" t="n">
        <v>711.5</v>
      </c>
      <c r="U32" s="0" t="n">
        <v>735</v>
      </c>
      <c r="V32" s="0" t="n">
        <v>719.3</v>
      </c>
      <c r="W32" s="0" t="n">
        <v>687.3</v>
      </c>
      <c r="X32" s="6" t="n">
        <f aca="false">AVERAGE(D32:W32)</f>
        <v>699.645</v>
      </c>
      <c r="Y32" s="7" t="n">
        <f aca="false">_xlfn.STDEV.S(D32:W32)</f>
        <v>13.0335791020934</v>
      </c>
      <c r="Z32" s="7" t="n">
        <f aca="false">Y32/X32</f>
        <v>0.0186288462035653</v>
      </c>
      <c r="AM32" s="0" t="n">
        <v>739.7</v>
      </c>
      <c r="AN32" s="0" t="n">
        <v>748.9</v>
      </c>
    </row>
    <row r="33" customFormat="false" ht="16.75" hidden="false" customHeight="false" outlineLevel="0" collapsed="false">
      <c r="B33" s="4"/>
      <c r="C33" s="5" t="n">
        <v>100</v>
      </c>
      <c r="D33" s="0" t="n">
        <v>741.2</v>
      </c>
      <c r="E33" s="0" t="n">
        <v>715.4</v>
      </c>
      <c r="F33" s="0" t="n">
        <v>691.1</v>
      </c>
      <c r="G33" s="0" t="n">
        <v>712.8</v>
      </c>
      <c r="H33" s="0" t="n">
        <v>720.6</v>
      </c>
      <c r="I33" s="0" t="n">
        <v>741.7</v>
      </c>
      <c r="J33" s="0" t="n">
        <v>721.2</v>
      </c>
      <c r="K33" s="0" t="n">
        <v>730.1</v>
      </c>
      <c r="L33" s="0" t="n">
        <v>724.7</v>
      </c>
      <c r="M33" s="0" t="n">
        <v>722.8</v>
      </c>
      <c r="N33" s="0" t="n">
        <v>732.9</v>
      </c>
      <c r="O33" s="0" t="n">
        <v>695.4</v>
      </c>
      <c r="P33" s="0" t="n">
        <v>739.3</v>
      </c>
      <c r="Q33" s="0" t="n">
        <v>718</v>
      </c>
      <c r="R33" s="0" t="n">
        <v>695.4</v>
      </c>
      <c r="S33" s="0" t="n">
        <v>711.6</v>
      </c>
      <c r="T33" s="0" t="n">
        <v>745</v>
      </c>
      <c r="U33" s="0" t="n">
        <v>727.6</v>
      </c>
      <c r="V33" s="0" t="n">
        <v>732.1</v>
      </c>
      <c r="W33" s="0" t="n">
        <v>727.5</v>
      </c>
      <c r="X33" s="6" t="n">
        <f aca="false">AVERAGE(D33:W33)</f>
        <v>722.32</v>
      </c>
      <c r="Y33" s="7" t="n">
        <f aca="false">_xlfn.STDEV.S(D33:W33)</f>
        <v>15.4984413477784</v>
      </c>
      <c r="Z33" s="7" t="n">
        <f aca="false">Y33/X33</f>
        <v>0.0214564754510167</v>
      </c>
      <c r="AM33" s="0" t="n">
        <v>732</v>
      </c>
      <c r="AN33" s="0" t="n">
        <v>738.8</v>
      </c>
    </row>
    <row r="34" customFormat="false" ht="16.75" hidden="false" customHeight="false" outlineLevel="0" collapsed="false">
      <c r="B34" s="4"/>
      <c r="C34" s="5" t="n">
        <v>150</v>
      </c>
      <c r="D34" s="0" t="n">
        <v>754.1</v>
      </c>
      <c r="E34" s="0" t="n">
        <v>733.7</v>
      </c>
      <c r="F34" s="0" t="n">
        <v>710.8</v>
      </c>
      <c r="G34" s="0" t="n">
        <v>689.5</v>
      </c>
      <c r="H34" s="0" t="n">
        <v>654.2</v>
      </c>
      <c r="I34" s="0" t="n">
        <v>726.7</v>
      </c>
      <c r="J34" s="0" t="n">
        <v>728</v>
      </c>
      <c r="K34" s="0" t="n">
        <v>746.7</v>
      </c>
      <c r="L34" s="0" t="n">
        <v>681.7</v>
      </c>
      <c r="M34" s="0" t="n">
        <v>707.1</v>
      </c>
      <c r="N34" s="0" t="n">
        <v>717.2</v>
      </c>
      <c r="O34" s="0" t="n">
        <v>743.5</v>
      </c>
      <c r="P34" s="0" t="n">
        <v>754.9</v>
      </c>
      <c r="Q34" s="0" t="n">
        <v>680.5</v>
      </c>
      <c r="R34" s="0" t="n">
        <v>680.4</v>
      </c>
      <c r="S34" s="0" t="n">
        <v>760.1</v>
      </c>
      <c r="T34" s="0" t="n">
        <v>685.5</v>
      </c>
      <c r="U34" s="0" t="n">
        <v>704.9</v>
      </c>
      <c r="V34" s="0" t="n">
        <v>747.7</v>
      </c>
      <c r="W34" s="0" t="n">
        <v>721.5</v>
      </c>
      <c r="X34" s="6" t="n">
        <f aca="false">AVERAGE(D34:W34)</f>
        <v>716.435</v>
      </c>
      <c r="Y34" s="7" t="n">
        <f aca="false">_xlfn.STDEV.S(D34:W34)</f>
        <v>30.4339193560149</v>
      </c>
      <c r="Z34" s="7" t="n">
        <f aca="false">Y34/X34</f>
        <v>0.0424796657840766</v>
      </c>
      <c r="AM34" s="0" t="n">
        <v>731.3</v>
      </c>
      <c r="AN34" s="0" t="n">
        <v>736.1</v>
      </c>
    </row>
    <row r="35" customFormat="false" ht="15" hidden="false" customHeight="true" outlineLevel="0" collapsed="false">
      <c r="A35" s="1" t="s">
        <v>39</v>
      </c>
      <c r="B35" s="1"/>
      <c r="C35" s="1"/>
      <c r="AM35" s="0" t="n">
        <v>736.1</v>
      </c>
      <c r="AN35" s="0" t="n">
        <v>732.1</v>
      </c>
    </row>
    <row r="36" customFormat="false" ht="15" hidden="false" customHeight="false" outlineLevel="0" collapsed="false">
      <c r="A36" s="1"/>
      <c r="B36" s="1"/>
      <c r="C36" s="1"/>
      <c r="D36" s="2" t="s">
        <v>28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M36" s="0" t="n">
        <v>725</v>
      </c>
      <c r="AN36" s="0" t="n">
        <v>740.6</v>
      </c>
    </row>
    <row r="37" customFormat="false" ht="15" hidden="false" customHeight="fals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M37" s="0" t="n">
        <v>785.4</v>
      </c>
      <c r="AN37" s="0" t="n">
        <v>741.6</v>
      </c>
    </row>
    <row r="38" customFormat="false" ht="15" hidden="false" customHeight="false" outlineLevel="0" collapsed="false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M38" s="0" t="n">
        <v>779.6</v>
      </c>
      <c r="AN38" s="0" t="n">
        <v>732.6</v>
      </c>
    </row>
    <row r="39" customFormat="false" ht="29.85" hidden="false" customHeight="false" outlineLevel="0" collapsed="false"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3" t="s">
        <v>17</v>
      </c>
      <c r="R39" s="3" t="s">
        <v>18</v>
      </c>
      <c r="S39" s="3" t="s">
        <v>19</v>
      </c>
      <c r="T39" s="3" t="s">
        <v>20</v>
      </c>
      <c r="U39" s="3" t="s">
        <v>21</v>
      </c>
      <c r="V39" s="3" t="s">
        <v>22</v>
      </c>
      <c r="W39" s="3" t="s">
        <v>23</v>
      </c>
      <c r="X39" s="3" t="s">
        <v>24</v>
      </c>
      <c r="Y39" s="3" t="s">
        <v>25</v>
      </c>
      <c r="Z39" s="3" t="s">
        <v>26</v>
      </c>
      <c r="AM39" s="0" t="n">
        <v>732.8</v>
      </c>
      <c r="AN39" s="0" t="n">
        <v>740.1</v>
      </c>
    </row>
    <row r="40" customFormat="false" ht="16.75" hidden="false" customHeight="false" outlineLevel="0" collapsed="false">
      <c r="B40" s="4" t="n">
        <v>25</v>
      </c>
      <c r="C40" s="5" t="n">
        <v>13</v>
      </c>
      <c r="D40" s="0" t="n">
        <v>714.2</v>
      </c>
      <c r="E40" s="0" t="n">
        <v>709.1</v>
      </c>
      <c r="F40" s="0" t="n">
        <v>727.9</v>
      </c>
      <c r="G40" s="0" t="n">
        <v>725.4</v>
      </c>
      <c r="H40" s="0" t="n">
        <v>714.1</v>
      </c>
      <c r="I40" s="0" t="n">
        <v>713.5</v>
      </c>
      <c r="J40" s="0" t="n">
        <v>718.8</v>
      </c>
      <c r="K40" s="0" t="n">
        <v>719.9</v>
      </c>
      <c r="L40" s="0" t="n">
        <v>718.6</v>
      </c>
      <c r="M40" s="0" t="n">
        <v>731.7</v>
      </c>
      <c r="N40" s="0" t="n">
        <v>714.6</v>
      </c>
      <c r="O40" s="0" t="n">
        <v>724.8</v>
      </c>
      <c r="P40" s="0" t="n">
        <v>721.3</v>
      </c>
      <c r="Q40" s="0" t="n">
        <v>716.5</v>
      </c>
      <c r="R40" s="0" t="n">
        <v>726.6</v>
      </c>
      <c r="S40" s="0" t="n">
        <v>730.7</v>
      </c>
      <c r="T40" s="0" t="n">
        <v>720.7</v>
      </c>
      <c r="U40" s="0" t="n">
        <v>720.2</v>
      </c>
      <c r="V40" s="0" t="n">
        <v>718.3</v>
      </c>
      <c r="W40" s="0" t="n">
        <v>738.5</v>
      </c>
      <c r="X40" s="6" t="n">
        <f aca="false">AVERAGE(D40:W40)</f>
        <v>721.27</v>
      </c>
      <c r="Y40" s="7" t="n">
        <f aca="false">_xlfn.STDEV.S(D40:W40)</f>
        <v>7.25106888672284</v>
      </c>
      <c r="Z40" s="7" t="n">
        <f aca="false">Y40/X40</f>
        <v>0.0100531962881069</v>
      </c>
      <c r="AM40" s="0" t="n">
        <v>731.8</v>
      </c>
      <c r="AN40" s="0" t="n">
        <v>740.7</v>
      </c>
    </row>
    <row r="41" customFormat="false" ht="16.75" hidden="false" customHeight="false" outlineLevel="0" collapsed="false">
      <c r="B41" s="4"/>
      <c r="C41" s="5" t="n">
        <v>25</v>
      </c>
      <c r="D41" s="0" t="n">
        <v>748.1</v>
      </c>
      <c r="E41" s="0" t="n">
        <v>744.7</v>
      </c>
      <c r="F41" s="0" t="n">
        <v>745.7</v>
      </c>
      <c r="G41" s="0" t="n">
        <v>740.3</v>
      </c>
      <c r="H41" s="0" t="n">
        <v>743.5</v>
      </c>
      <c r="I41" s="0" t="n">
        <v>745.7</v>
      </c>
      <c r="J41" s="0" t="n">
        <v>749.1</v>
      </c>
      <c r="K41" s="0" t="n">
        <v>744.8</v>
      </c>
      <c r="L41" s="0" t="n">
        <v>748.1</v>
      </c>
      <c r="M41" s="0" t="n">
        <v>743.4</v>
      </c>
      <c r="N41" s="0" t="n">
        <v>747</v>
      </c>
      <c r="O41" s="0" t="n">
        <v>743.7</v>
      </c>
      <c r="P41" s="0" t="n">
        <v>743.4</v>
      </c>
      <c r="Q41" s="0" t="n">
        <v>741.8</v>
      </c>
      <c r="R41" s="0" t="n">
        <v>738</v>
      </c>
      <c r="S41" s="0" t="n">
        <v>741</v>
      </c>
      <c r="T41" s="0" t="n">
        <v>783.7</v>
      </c>
      <c r="U41" s="0" t="n">
        <v>744.4</v>
      </c>
      <c r="V41" s="0" t="n">
        <v>744</v>
      </c>
      <c r="W41" s="0" t="n">
        <v>748.6</v>
      </c>
      <c r="X41" s="6" t="n">
        <f aca="false">AVERAGE(D41:W41)</f>
        <v>746.45</v>
      </c>
      <c r="Y41" s="7" t="n">
        <f aca="false">_xlfn.STDEV.S(D41:W41)</f>
        <v>9.22664904673301</v>
      </c>
      <c r="Z41" s="7" t="n">
        <f aca="false">Y41/X41</f>
        <v>0.012360706071047</v>
      </c>
      <c r="AM41" s="0" t="n">
        <v>734.6</v>
      </c>
      <c r="AN41" s="0" t="n">
        <v>739.8</v>
      </c>
    </row>
    <row r="42" customFormat="false" ht="16.75" hidden="false" customHeight="false" outlineLevel="0" collapsed="false">
      <c r="B42" s="4"/>
      <c r="C42" s="5" t="n">
        <v>38</v>
      </c>
      <c r="D42" s="0" t="n">
        <v>746.2</v>
      </c>
      <c r="E42" s="0" t="n">
        <v>755.5</v>
      </c>
      <c r="F42" s="0" t="n">
        <v>757.3</v>
      </c>
      <c r="G42" s="0" t="n">
        <v>756.2</v>
      </c>
      <c r="H42" s="0" t="n">
        <v>754.3</v>
      </c>
      <c r="I42" s="0" t="n">
        <v>758.7</v>
      </c>
      <c r="J42" s="0" t="n">
        <v>743.3</v>
      </c>
      <c r="K42" s="0" t="n">
        <v>750</v>
      </c>
      <c r="L42" s="0" t="n">
        <v>753.8</v>
      </c>
      <c r="M42" s="0" t="n">
        <v>750.5</v>
      </c>
      <c r="N42" s="0" t="n">
        <v>753.9</v>
      </c>
      <c r="O42" s="0" t="n">
        <v>755.3</v>
      </c>
      <c r="P42" s="0" t="n">
        <v>754.8</v>
      </c>
      <c r="Q42" s="0" t="n">
        <v>745.2</v>
      </c>
      <c r="R42" s="0" t="n">
        <v>746.1</v>
      </c>
      <c r="S42" s="0" t="n">
        <v>758.6</v>
      </c>
      <c r="T42" s="0" t="n">
        <v>754.7</v>
      </c>
      <c r="U42" s="0" t="n">
        <v>758.4</v>
      </c>
      <c r="V42" s="0" t="n">
        <v>741.5</v>
      </c>
      <c r="W42" s="0" t="n">
        <v>751.5</v>
      </c>
      <c r="X42" s="6" t="n">
        <f aca="false">AVERAGE(D42:W42)</f>
        <v>752.29</v>
      </c>
      <c r="Y42" s="7" t="n">
        <f aca="false">_xlfn.STDEV.S(D42:W42)</f>
        <v>5.28651711033784</v>
      </c>
      <c r="Z42" s="7" t="n">
        <f aca="false">Y42/X42</f>
        <v>0.00702723299570357</v>
      </c>
      <c r="AM42" s="0" t="n">
        <v>720.7</v>
      </c>
      <c r="AN42" s="0" t="n">
        <v>734.9</v>
      </c>
    </row>
    <row r="43" customFormat="false" ht="16.75" hidden="false" customHeight="false" outlineLevel="0" collapsed="false">
      <c r="B43" s="4" t="n">
        <v>63</v>
      </c>
      <c r="C43" s="5" t="n">
        <v>31</v>
      </c>
      <c r="D43" s="0" t="n">
        <v>708.5</v>
      </c>
      <c r="E43" s="0" t="n">
        <v>701.6</v>
      </c>
      <c r="F43" s="0" t="n">
        <v>687</v>
      </c>
      <c r="G43" s="0" t="n">
        <v>707.9</v>
      </c>
      <c r="H43" s="0" t="n">
        <v>698</v>
      </c>
      <c r="I43" s="0" t="n">
        <v>711.8</v>
      </c>
      <c r="J43" s="0" t="n">
        <v>685.2</v>
      </c>
      <c r="K43" s="0" t="n">
        <v>719.8</v>
      </c>
      <c r="L43" s="0" t="n">
        <v>700.2</v>
      </c>
      <c r="M43" s="0" t="n">
        <v>700.5</v>
      </c>
      <c r="N43" s="0" t="n">
        <v>697.2</v>
      </c>
      <c r="O43" s="0" t="n">
        <v>700.2</v>
      </c>
      <c r="P43" s="0" t="n">
        <v>687.5</v>
      </c>
      <c r="Q43" s="0" t="n">
        <v>703.5</v>
      </c>
      <c r="R43" s="0" t="n">
        <v>710</v>
      </c>
      <c r="S43" s="0" t="n">
        <v>686.2</v>
      </c>
      <c r="T43" s="0" t="n">
        <v>699.9</v>
      </c>
      <c r="U43" s="0" t="n">
        <v>703.6</v>
      </c>
      <c r="V43" s="0" t="n">
        <v>709.8</v>
      </c>
      <c r="W43" s="0" t="n">
        <v>718.8</v>
      </c>
      <c r="X43" s="6" t="n">
        <f aca="false">AVERAGE(D43:W43)</f>
        <v>701.86</v>
      </c>
      <c r="Y43" s="7" t="n">
        <f aca="false">_xlfn.STDEV.S(D43:W43)</f>
        <v>10.0548705139664</v>
      </c>
      <c r="Z43" s="7" t="n">
        <f aca="false">Y43/X43</f>
        <v>0.0143260344142228</v>
      </c>
      <c r="AM43" s="0" t="n">
        <v>738.5</v>
      </c>
      <c r="AN43" s="0" t="n">
        <v>743</v>
      </c>
    </row>
    <row r="44" customFormat="false" ht="16.75" hidden="false" customHeight="false" outlineLevel="0" collapsed="false">
      <c r="B44" s="4"/>
      <c r="C44" s="5" t="n">
        <v>63</v>
      </c>
      <c r="D44" s="0" t="n">
        <v>720.4</v>
      </c>
      <c r="E44" s="0" t="n">
        <v>740</v>
      </c>
      <c r="F44" s="0" t="n">
        <v>716.3</v>
      </c>
      <c r="G44" s="0" t="n">
        <v>744.6</v>
      </c>
      <c r="H44" s="0" t="n">
        <v>743.5</v>
      </c>
      <c r="I44" s="0" t="n">
        <v>753.3</v>
      </c>
      <c r="J44" s="0" t="n">
        <v>711.9</v>
      </c>
      <c r="K44" s="0" t="n">
        <v>736.6</v>
      </c>
      <c r="L44" s="0" t="n">
        <v>722.1</v>
      </c>
      <c r="M44" s="0" t="n">
        <v>757.8</v>
      </c>
      <c r="N44" s="0" t="n">
        <v>742.4</v>
      </c>
      <c r="O44" s="0" t="n">
        <v>735.4</v>
      </c>
      <c r="P44" s="0" t="n">
        <v>726.3</v>
      </c>
      <c r="Q44" s="0" t="n">
        <v>729.3</v>
      </c>
      <c r="R44" s="0" t="n">
        <v>739.9</v>
      </c>
      <c r="S44" s="0" t="n">
        <v>767.7</v>
      </c>
      <c r="T44" s="0" t="n">
        <v>723.4</v>
      </c>
      <c r="U44" s="0" t="n">
        <v>729.6</v>
      </c>
      <c r="V44" s="0" t="n">
        <v>720.7</v>
      </c>
      <c r="W44" s="0" t="n">
        <v>757.3</v>
      </c>
      <c r="X44" s="6" t="n">
        <f aca="false">AVERAGE(D44:W44)</f>
        <v>735.925</v>
      </c>
      <c r="Y44" s="7" t="n">
        <f aca="false">_xlfn.STDEV.S(D44:W44)</f>
        <v>15.2425262100204</v>
      </c>
      <c r="Z44" s="7" t="n">
        <f aca="false">Y44/X44</f>
        <v>0.0207120646941202</v>
      </c>
      <c r="AM44" s="0" t="n">
        <v>737</v>
      </c>
      <c r="AN44" s="0" t="n">
        <v>746.6</v>
      </c>
    </row>
    <row r="45" customFormat="false" ht="16.75" hidden="false" customHeight="false" outlineLevel="0" collapsed="false">
      <c r="B45" s="4"/>
      <c r="C45" s="5" t="n">
        <v>93</v>
      </c>
      <c r="D45" s="0" t="n">
        <v>750.5</v>
      </c>
      <c r="E45" s="0" t="n">
        <v>742.8</v>
      </c>
      <c r="F45" s="0" t="n">
        <v>747.9</v>
      </c>
      <c r="G45" s="0" t="n">
        <v>752.3</v>
      </c>
      <c r="H45" s="0" t="n">
        <v>762.7</v>
      </c>
      <c r="I45" s="0" t="n">
        <v>761.4</v>
      </c>
      <c r="J45" s="0" t="n">
        <v>760.3</v>
      </c>
      <c r="K45" s="0" t="n">
        <v>749.5</v>
      </c>
      <c r="L45" s="0" t="n">
        <v>729.2</v>
      </c>
      <c r="M45" s="0" t="n">
        <v>761.2</v>
      </c>
      <c r="N45" s="0" t="n">
        <v>749.8</v>
      </c>
      <c r="O45" s="0" t="n">
        <v>747.6</v>
      </c>
      <c r="P45" s="0" t="n">
        <v>763.6</v>
      </c>
      <c r="Q45" s="0" t="n">
        <v>754.9</v>
      </c>
      <c r="R45" s="0" t="n">
        <v>750.9</v>
      </c>
      <c r="S45" s="0" t="n">
        <v>750</v>
      </c>
      <c r="T45" s="0" t="n">
        <v>742.8</v>
      </c>
      <c r="U45" s="0" t="n">
        <v>756.7</v>
      </c>
      <c r="V45" s="0" t="n">
        <v>733.9</v>
      </c>
      <c r="W45" s="0" t="n">
        <v>746.8</v>
      </c>
      <c r="X45" s="6" t="n">
        <f aca="false">AVERAGE(D45:W45)</f>
        <v>750.74</v>
      </c>
      <c r="Y45" s="7" t="n">
        <f aca="false">_xlfn.STDEV.S(D45:W45)</f>
        <v>9.14292363697625</v>
      </c>
      <c r="Z45" s="7" t="n">
        <f aca="false">Y45/X45</f>
        <v>0.0121785486812695</v>
      </c>
      <c r="AM45" s="0" t="n">
        <v>717.7</v>
      </c>
      <c r="AN45" s="0" t="n">
        <v>738.6</v>
      </c>
    </row>
    <row r="46" customFormat="false" ht="16.75" hidden="false" customHeight="false" outlineLevel="0" collapsed="false">
      <c r="B46" s="4" t="n">
        <v>100</v>
      </c>
      <c r="C46" s="5" t="n">
        <v>25</v>
      </c>
      <c r="D46" s="0" t="n">
        <v>645.9</v>
      </c>
      <c r="E46" s="0" t="n">
        <v>652.9</v>
      </c>
      <c r="F46" s="0" t="n">
        <v>638.1</v>
      </c>
      <c r="G46" s="0" t="n">
        <v>647</v>
      </c>
      <c r="H46" s="0" t="n">
        <v>636.5</v>
      </c>
      <c r="I46" s="0" t="n">
        <v>633</v>
      </c>
      <c r="J46" s="0" t="n">
        <v>650.2</v>
      </c>
      <c r="K46" s="0" t="n">
        <v>618.3</v>
      </c>
      <c r="L46" s="0" t="n">
        <v>646.4</v>
      </c>
      <c r="M46" s="0" t="n">
        <v>611.2</v>
      </c>
      <c r="N46" s="0" t="n">
        <v>657.7</v>
      </c>
      <c r="O46" s="0" t="n">
        <v>646.3</v>
      </c>
      <c r="P46" s="0" t="n">
        <v>608.6</v>
      </c>
      <c r="Q46" s="0" t="n">
        <v>656</v>
      </c>
      <c r="R46" s="0" t="n">
        <v>610.7</v>
      </c>
      <c r="S46" s="0" t="n">
        <v>676.5</v>
      </c>
      <c r="T46" s="0" t="n">
        <v>667.5</v>
      </c>
      <c r="U46" s="0" t="n">
        <v>637.4</v>
      </c>
      <c r="V46" s="0" t="n">
        <v>642.4</v>
      </c>
      <c r="W46" s="0" t="n">
        <v>638.5</v>
      </c>
      <c r="X46" s="6" t="n">
        <f aca="false">AVERAGE(D46:W46)</f>
        <v>641.055</v>
      </c>
      <c r="Y46" s="7" t="n">
        <f aca="false">_xlfn.STDEV.S(D46:W46)</f>
        <v>18.2018644215655</v>
      </c>
      <c r="Z46" s="7" t="n">
        <f aca="false">Y46/X46</f>
        <v>0.0283936080703926</v>
      </c>
    </row>
    <row r="47" customFormat="false" ht="16.75" hidden="false" customHeight="false" outlineLevel="0" collapsed="false">
      <c r="B47" s="4"/>
      <c r="C47" s="5" t="n">
        <v>38</v>
      </c>
      <c r="D47" s="0" t="n">
        <v>678.3</v>
      </c>
      <c r="E47" s="0" t="n">
        <v>654.6</v>
      </c>
      <c r="F47" s="0" t="n">
        <v>699.7</v>
      </c>
      <c r="G47" s="0" t="n">
        <v>666.5</v>
      </c>
      <c r="H47" s="0" t="n">
        <v>683.1</v>
      </c>
      <c r="I47" s="0" t="n">
        <v>701.7</v>
      </c>
      <c r="J47" s="0" t="n">
        <v>655.7</v>
      </c>
      <c r="K47" s="0" t="n">
        <v>675.6</v>
      </c>
      <c r="L47" s="0" t="n">
        <v>668</v>
      </c>
      <c r="M47" s="0" t="n">
        <v>702.4</v>
      </c>
      <c r="N47" s="0" t="n">
        <v>681.6</v>
      </c>
      <c r="O47" s="0" t="n">
        <v>707.2</v>
      </c>
      <c r="P47" s="0" t="n">
        <v>653.7</v>
      </c>
      <c r="Q47" s="0" t="n">
        <v>679</v>
      </c>
      <c r="R47" s="0" t="n">
        <v>658.3</v>
      </c>
      <c r="S47" s="0" t="n">
        <v>684.5</v>
      </c>
      <c r="T47" s="0" t="n">
        <v>686.6</v>
      </c>
      <c r="U47" s="0" t="n">
        <v>651.6</v>
      </c>
      <c r="V47" s="0" t="n">
        <v>642.8</v>
      </c>
      <c r="W47" s="0" t="n">
        <v>669.1</v>
      </c>
      <c r="X47" s="6" t="n">
        <f aca="false">AVERAGE(D47:W47)</f>
        <v>675</v>
      </c>
      <c r="Y47" s="7" t="n">
        <f aca="false">_xlfn.STDEV.S(D47:W47)</f>
        <v>18.8253748127921</v>
      </c>
      <c r="Z47" s="7" t="n">
        <f aca="false">Y47/X47</f>
        <v>0.0278894441670993</v>
      </c>
    </row>
    <row r="48" customFormat="false" ht="16.75" hidden="false" customHeight="false" outlineLevel="0" collapsed="false">
      <c r="B48" s="4"/>
      <c r="C48" s="5" t="n">
        <v>50</v>
      </c>
      <c r="D48" s="0" t="n">
        <v>695.9</v>
      </c>
      <c r="E48" s="0" t="n">
        <v>693.7</v>
      </c>
      <c r="F48" s="0" t="n">
        <v>659.6</v>
      </c>
      <c r="G48" s="0" t="n">
        <v>690.4</v>
      </c>
      <c r="H48" s="0" t="n">
        <v>721.3</v>
      </c>
      <c r="I48" s="0" t="n">
        <v>721.9</v>
      </c>
      <c r="J48" s="0" t="n">
        <v>698.4</v>
      </c>
      <c r="K48" s="0" t="n">
        <v>682.3</v>
      </c>
      <c r="L48" s="0" t="n">
        <v>660.9</v>
      </c>
      <c r="M48" s="0" t="n">
        <v>663.9</v>
      </c>
      <c r="N48" s="0" t="n">
        <v>677.7</v>
      </c>
      <c r="O48" s="0" t="n">
        <v>673.5</v>
      </c>
      <c r="P48" s="0" t="n">
        <v>685.3</v>
      </c>
      <c r="Q48" s="0" t="n">
        <v>686.4</v>
      </c>
      <c r="R48" s="0" t="n">
        <v>664.7</v>
      </c>
      <c r="S48" s="0" t="n">
        <v>649.1</v>
      </c>
      <c r="T48" s="0" t="n">
        <v>664.1</v>
      </c>
      <c r="U48" s="0" t="n">
        <v>688.4</v>
      </c>
      <c r="V48" s="0" t="n">
        <v>676.8</v>
      </c>
      <c r="W48" s="0" t="n">
        <v>687.6</v>
      </c>
      <c r="X48" s="6" t="n">
        <f aca="false">AVERAGE(D48:W48)</f>
        <v>682.095</v>
      </c>
      <c r="Y48" s="7" t="n">
        <f aca="false">_xlfn.STDEV.S(D48:W48)</f>
        <v>19.1985052872133</v>
      </c>
      <c r="Z48" s="7" t="n">
        <f aca="false">Y48/X48</f>
        <v>0.0281463803241679</v>
      </c>
    </row>
    <row r="49" customFormat="false" ht="16.75" hidden="false" customHeight="false" outlineLevel="0" collapsed="false">
      <c r="B49" s="4"/>
      <c r="C49" s="5" t="n">
        <v>75</v>
      </c>
      <c r="D49" s="0" t="n">
        <v>682.8</v>
      </c>
      <c r="E49" s="0" t="n">
        <v>708.5</v>
      </c>
      <c r="F49" s="0" t="n">
        <v>723</v>
      </c>
      <c r="G49" s="0" t="n">
        <v>683.8</v>
      </c>
      <c r="H49" s="0" t="n">
        <v>692.3</v>
      </c>
      <c r="I49" s="0" t="n">
        <v>699.5</v>
      </c>
      <c r="J49" s="0" t="n">
        <v>681.6</v>
      </c>
      <c r="K49" s="0" t="n">
        <v>666.2</v>
      </c>
      <c r="L49" s="0" t="n">
        <v>659.9</v>
      </c>
      <c r="M49" s="0" t="n">
        <v>675.6</v>
      </c>
      <c r="N49" s="0" t="n">
        <v>685.2</v>
      </c>
      <c r="O49" s="0" t="n">
        <v>686</v>
      </c>
      <c r="P49" s="0" t="n">
        <v>651.3</v>
      </c>
      <c r="Q49" s="0" t="n">
        <v>686</v>
      </c>
      <c r="R49" s="0" t="n">
        <v>702.2</v>
      </c>
      <c r="S49" s="0" t="n">
        <v>657.9</v>
      </c>
      <c r="T49" s="0" t="n">
        <v>667.9</v>
      </c>
      <c r="U49" s="0" t="n">
        <v>674.8</v>
      </c>
      <c r="V49" s="0" t="n">
        <v>696</v>
      </c>
      <c r="W49" s="0" t="n">
        <v>696.5</v>
      </c>
      <c r="X49" s="6" t="n">
        <f aca="false">AVERAGE(D49:W49)</f>
        <v>683.85</v>
      </c>
      <c r="Y49" s="7" t="n">
        <f aca="false">_xlfn.STDEV.S(D49:W49)</f>
        <v>17.9775737488332</v>
      </c>
      <c r="Z49" s="7" t="n">
        <f aca="false">Y49/X49</f>
        <v>0.0262887676373959</v>
      </c>
    </row>
    <row r="50" customFormat="false" ht="16.75" hidden="false" customHeight="false" outlineLevel="0" collapsed="false">
      <c r="B50" s="4"/>
      <c r="C50" s="5" t="n">
        <v>100</v>
      </c>
      <c r="D50" s="0" t="n">
        <v>748</v>
      </c>
      <c r="E50" s="0" t="n">
        <v>738.6</v>
      </c>
      <c r="F50" s="0" t="n">
        <v>723.1</v>
      </c>
      <c r="G50" s="0" t="n">
        <v>710.6</v>
      </c>
      <c r="H50" s="0" t="n">
        <v>741.3</v>
      </c>
      <c r="I50" s="0" t="n">
        <v>745.5</v>
      </c>
      <c r="J50" s="0" t="n">
        <v>719.4</v>
      </c>
      <c r="K50" s="0" t="n">
        <v>720.2</v>
      </c>
      <c r="L50" s="0" t="n">
        <v>704.5</v>
      </c>
      <c r="M50" s="0" t="n">
        <v>748.3</v>
      </c>
      <c r="N50" s="0" t="n">
        <v>707</v>
      </c>
      <c r="O50" s="0" t="n">
        <v>733.1</v>
      </c>
      <c r="P50" s="0" t="n">
        <v>743</v>
      </c>
      <c r="Q50" s="0" t="n">
        <v>736.2</v>
      </c>
      <c r="R50" s="0" t="n">
        <v>733.6</v>
      </c>
      <c r="S50" s="0" t="n">
        <v>737.1</v>
      </c>
      <c r="T50" s="0" t="n">
        <v>710.5</v>
      </c>
      <c r="U50" s="0" t="n">
        <v>741.7</v>
      </c>
      <c r="V50" s="0" t="n">
        <v>726.7</v>
      </c>
      <c r="W50" s="0" t="n">
        <v>743.8</v>
      </c>
      <c r="X50" s="6" t="n">
        <f aca="false">AVERAGE(D50:W50)</f>
        <v>730.61</v>
      </c>
      <c r="Y50" s="7" t="n">
        <f aca="false">_xlfn.STDEV.S(D50:W50)</f>
        <v>14.3340925951494</v>
      </c>
      <c r="Z50" s="7" t="n">
        <f aca="false">Y50/X50</f>
        <v>0.0196193490304668</v>
      </c>
    </row>
    <row r="51" customFormat="false" ht="16.75" hidden="false" customHeight="false" outlineLevel="0" collapsed="false">
      <c r="B51" s="4"/>
      <c r="C51" s="5" t="n">
        <v>150</v>
      </c>
      <c r="D51" s="0" t="n">
        <v>743.8</v>
      </c>
      <c r="E51" s="0" t="n">
        <v>745.7</v>
      </c>
      <c r="F51" s="0" t="n">
        <v>764.7</v>
      </c>
      <c r="G51" s="0" t="n">
        <v>768.7</v>
      </c>
      <c r="H51" s="0" t="n">
        <v>780.9</v>
      </c>
      <c r="I51" s="0" t="n">
        <v>782.8</v>
      </c>
      <c r="J51" s="0" t="n">
        <v>739.6</v>
      </c>
      <c r="K51" s="0" t="n">
        <v>759.7</v>
      </c>
      <c r="L51" s="0" t="n">
        <v>757.8</v>
      </c>
      <c r="M51" s="0" t="n">
        <v>760.9</v>
      </c>
      <c r="N51" s="0" t="n">
        <v>748.7</v>
      </c>
      <c r="O51" s="0" t="n">
        <v>762.3</v>
      </c>
      <c r="P51" s="0" t="n">
        <v>746.4</v>
      </c>
      <c r="Q51" s="0" t="n">
        <v>780.4</v>
      </c>
      <c r="R51" s="0" t="n">
        <v>761.8</v>
      </c>
      <c r="S51" s="0" t="n">
        <v>765</v>
      </c>
      <c r="T51" s="0" t="n">
        <v>736.2</v>
      </c>
      <c r="U51" s="0" t="n">
        <v>751</v>
      </c>
      <c r="V51" s="0" t="n">
        <v>739</v>
      </c>
      <c r="W51" s="0" t="n">
        <v>750.4</v>
      </c>
      <c r="X51" s="6" t="n">
        <f aca="false">AVERAGE(D51:W51)</f>
        <v>757.29</v>
      </c>
      <c r="Y51" s="7" t="n">
        <f aca="false">_xlfn.STDEV.S(D51:W51)</f>
        <v>14.0287636848838</v>
      </c>
      <c r="Z51" s="7" t="n">
        <f aca="false">Y51/X51</f>
        <v>0.0185249556773282</v>
      </c>
    </row>
    <row r="52" customFormat="false" ht="15" hidden="false" customHeight="true" outlineLevel="0" collapsed="false">
      <c r="A52" s="1" t="s">
        <v>38</v>
      </c>
      <c r="B52" s="1"/>
      <c r="C52" s="1"/>
    </row>
    <row r="53" customFormat="false" ht="15" hidden="false" customHeight="false" outlineLevel="0" collapsed="false">
      <c r="A53" s="1"/>
      <c r="B53" s="1"/>
      <c r="C53" s="1"/>
      <c r="D53" s="2" t="s">
        <v>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9.85" hidden="false" customHeight="false" outlineLevel="0" collapsed="false"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 t="s">
        <v>16</v>
      </c>
      <c r="Q56" s="3" t="s">
        <v>17</v>
      </c>
      <c r="R56" s="3" t="s">
        <v>18</v>
      </c>
      <c r="S56" s="3" t="s">
        <v>19</v>
      </c>
      <c r="T56" s="3" t="s">
        <v>20</v>
      </c>
      <c r="U56" s="3" t="s">
        <v>21</v>
      </c>
      <c r="V56" s="3" t="s">
        <v>22</v>
      </c>
      <c r="W56" s="3" t="s">
        <v>23</v>
      </c>
      <c r="X56" s="3" t="s">
        <v>24</v>
      </c>
      <c r="Y56" s="3" t="s">
        <v>25</v>
      </c>
      <c r="Z56" s="3" t="s">
        <v>26</v>
      </c>
    </row>
    <row r="57" customFormat="false" ht="16.75" hidden="false" customHeight="false" outlineLevel="0" collapsed="false">
      <c r="B57" s="4" t="n">
        <v>25</v>
      </c>
      <c r="C57" s="5" t="n">
        <v>13</v>
      </c>
      <c r="D57" s="0" t="n">
        <v>724.6</v>
      </c>
      <c r="E57" s="0" t="n">
        <v>730.5</v>
      </c>
      <c r="F57" s="0" t="n">
        <v>732</v>
      </c>
      <c r="G57" s="0" t="n">
        <v>738.9</v>
      </c>
      <c r="H57" s="0" t="n">
        <v>728.9</v>
      </c>
      <c r="I57" s="0" t="n">
        <v>734.2</v>
      </c>
      <c r="J57" s="0" t="n">
        <v>739.2</v>
      </c>
      <c r="K57" s="0" t="n">
        <v>723.8</v>
      </c>
      <c r="L57" s="0" t="n">
        <v>728.9</v>
      </c>
      <c r="M57" s="0" t="n">
        <v>738.8</v>
      </c>
      <c r="N57" s="0" t="n">
        <v>730.1</v>
      </c>
      <c r="O57" s="0" t="n">
        <v>733.4</v>
      </c>
      <c r="P57" s="0" t="n">
        <v>728</v>
      </c>
      <c r="Q57" s="0" t="n">
        <v>733.6</v>
      </c>
      <c r="R57" s="0" t="n">
        <v>723</v>
      </c>
      <c r="S57" s="0" t="n">
        <v>732.7</v>
      </c>
      <c r="T57" s="0" t="n">
        <v>736.3</v>
      </c>
      <c r="U57" s="0" t="n">
        <v>736</v>
      </c>
      <c r="V57" s="0" t="n">
        <v>726.2</v>
      </c>
      <c r="W57" s="0" t="n">
        <v>739.4</v>
      </c>
      <c r="X57" s="6" t="n">
        <f aca="false">AVERAGE(D57:W57)</f>
        <v>731.925</v>
      </c>
      <c r="Y57" s="7" t="n">
        <f aca="false">_xlfn.STDEV.S(D57:W57)</f>
        <v>5.24352984764632</v>
      </c>
      <c r="Z57" s="7" t="n">
        <f aca="false">Y57/X57</f>
        <v>0.00716402616066717</v>
      </c>
    </row>
    <row r="58" customFormat="false" ht="16.75" hidden="false" customHeight="false" outlineLevel="0" collapsed="false">
      <c r="B58" s="4"/>
      <c r="C58" s="5" t="n">
        <v>25</v>
      </c>
      <c r="D58" s="0" t="n">
        <v>752.9</v>
      </c>
      <c r="E58" s="0" t="n">
        <v>759.1</v>
      </c>
      <c r="F58" s="0" t="n">
        <v>760</v>
      </c>
      <c r="G58" s="0" t="n">
        <v>748</v>
      </c>
      <c r="H58" s="0" t="n">
        <v>742</v>
      </c>
      <c r="I58" s="0" t="n">
        <v>747.6</v>
      </c>
      <c r="J58" s="0" t="n">
        <v>749.3</v>
      </c>
      <c r="K58" s="0" t="n">
        <v>747.5</v>
      </c>
      <c r="L58" s="0" t="n">
        <v>750.8</v>
      </c>
      <c r="M58" s="0" t="n">
        <v>759.6</v>
      </c>
      <c r="N58" s="0" t="n">
        <v>753.4</v>
      </c>
      <c r="O58" s="0" t="n">
        <v>748.8</v>
      </c>
      <c r="P58" s="0" t="n">
        <v>741.9</v>
      </c>
      <c r="Q58" s="0" t="n">
        <v>785.1</v>
      </c>
      <c r="R58" s="0" t="n">
        <v>756.2</v>
      </c>
      <c r="S58" s="0" t="n">
        <v>754.2</v>
      </c>
      <c r="T58" s="0" t="n">
        <v>743.9</v>
      </c>
      <c r="U58" s="0" t="n">
        <v>748.6</v>
      </c>
      <c r="V58" s="0" t="n">
        <v>756.2</v>
      </c>
      <c r="W58" s="0" t="n">
        <v>750.3</v>
      </c>
      <c r="X58" s="6" t="n">
        <f aca="false">AVERAGE(D58:W58)</f>
        <v>752.77</v>
      </c>
      <c r="Y58" s="7" t="n">
        <f aca="false">_xlfn.STDEV.S(D58:W58)</f>
        <v>9.33432262927357</v>
      </c>
      <c r="Z58" s="7" t="n">
        <f aca="false">Y58/X58</f>
        <v>0.0123999662968418</v>
      </c>
    </row>
    <row r="59" customFormat="false" ht="16.75" hidden="false" customHeight="false" outlineLevel="0" collapsed="false">
      <c r="B59" s="4"/>
      <c r="C59" s="5" t="n">
        <v>38</v>
      </c>
      <c r="D59" s="0" t="n">
        <v>761.5</v>
      </c>
      <c r="E59" s="0" t="n">
        <v>772.1</v>
      </c>
      <c r="F59" s="0" t="n">
        <v>769.7</v>
      </c>
      <c r="G59" s="0" t="n">
        <v>755.6</v>
      </c>
      <c r="H59" s="0" t="n">
        <v>777.7</v>
      </c>
      <c r="I59" s="0" t="n">
        <v>759.2</v>
      </c>
      <c r="J59" s="0" t="n">
        <v>767</v>
      </c>
      <c r="K59" s="0" t="n">
        <v>762</v>
      </c>
      <c r="L59" s="0" t="n">
        <v>759.4</v>
      </c>
      <c r="M59" s="0" t="n">
        <v>759.3</v>
      </c>
      <c r="N59" s="0" t="n">
        <v>797.6</v>
      </c>
      <c r="O59" s="0" t="n">
        <v>770.6</v>
      </c>
      <c r="P59" s="0" t="n">
        <v>761.4</v>
      </c>
      <c r="Q59" s="0" t="n">
        <v>762.5</v>
      </c>
      <c r="R59" s="0" t="n">
        <v>762.1</v>
      </c>
      <c r="S59" s="0" t="n">
        <v>759</v>
      </c>
      <c r="T59" s="0" t="n">
        <v>760.2</v>
      </c>
      <c r="U59" s="0" t="n">
        <v>760.5</v>
      </c>
      <c r="V59" s="0" t="n">
        <v>747.9</v>
      </c>
      <c r="W59" s="0" t="n">
        <v>761.6</v>
      </c>
      <c r="X59" s="6" t="n">
        <f aca="false">AVERAGE(D59:W59)</f>
        <v>764.345</v>
      </c>
      <c r="Y59" s="7" t="n">
        <f aca="false">_xlfn.STDEV.S(D59:W59)</f>
        <v>10.1081246633847</v>
      </c>
      <c r="Z59" s="7" t="n">
        <f aca="false">Y59/X59</f>
        <v>0.0132245578415306</v>
      </c>
    </row>
    <row r="60" customFormat="false" ht="16.75" hidden="false" customHeight="false" outlineLevel="0" collapsed="false">
      <c r="B60" s="4" t="n">
        <v>63</v>
      </c>
      <c r="C60" s="5" t="n">
        <v>31</v>
      </c>
      <c r="D60" s="0" t="n">
        <v>695.5</v>
      </c>
      <c r="E60" s="0" t="n">
        <v>695</v>
      </c>
      <c r="F60" s="0" t="n">
        <v>698.5</v>
      </c>
      <c r="G60" s="0" t="n">
        <v>696.4</v>
      </c>
      <c r="H60" s="0" t="n">
        <v>685.3</v>
      </c>
      <c r="I60" s="0" t="n">
        <v>690</v>
      </c>
      <c r="J60" s="0" t="n">
        <v>697.7</v>
      </c>
      <c r="K60" s="0" t="n">
        <v>700.9</v>
      </c>
      <c r="L60" s="0" t="n">
        <v>682.9</v>
      </c>
      <c r="M60" s="0" t="n">
        <v>698.8</v>
      </c>
      <c r="N60" s="0" t="n">
        <v>690.2</v>
      </c>
      <c r="O60" s="0" t="n">
        <v>700.5</v>
      </c>
      <c r="P60" s="0" t="n">
        <v>705.6</v>
      </c>
      <c r="Q60" s="0" t="n">
        <v>685.8</v>
      </c>
      <c r="R60" s="0" t="n">
        <v>692.2</v>
      </c>
      <c r="S60" s="0" t="n">
        <v>713.7</v>
      </c>
      <c r="T60" s="0" t="n">
        <v>701</v>
      </c>
      <c r="U60" s="0" t="n">
        <v>705.7</v>
      </c>
      <c r="V60" s="0" t="n">
        <v>741.2</v>
      </c>
      <c r="W60" s="0" t="n">
        <v>706.5</v>
      </c>
      <c r="X60" s="6" t="n">
        <f aca="false">AVERAGE(D60:W60)</f>
        <v>699.17</v>
      </c>
      <c r="Y60" s="7" t="n">
        <f aca="false">_xlfn.STDEV.S(D60:W60)</f>
        <v>12.5943220289312</v>
      </c>
      <c r="Z60" s="7" t="n">
        <f aca="false">Y60/X60</f>
        <v>0.018013247177269</v>
      </c>
    </row>
    <row r="61" customFormat="false" ht="16.75" hidden="false" customHeight="false" outlineLevel="0" collapsed="false">
      <c r="B61" s="4"/>
      <c r="C61" s="5" t="n">
        <v>63</v>
      </c>
      <c r="D61" s="0" t="n">
        <v>726.9</v>
      </c>
      <c r="E61" s="0" t="n">
        <v>716.1</v>
      </c>
      <c r="F61" s="0" t="n">
        <v>717.9</v>
      </c>
      <c r="G61" s="0" t="n">
        <v>726.4</v>
      </c>
      <c r="H61" s="0" t="n">
        <v>720.8</v>
      </c>
      <c r="I61" s="0" t="n">
        <v>712.1</v>
      </c>
      <c r="J61" s="0" t="n">
        <v>713.1</v>
      </c>
      <c r="K61" s="0" t="n">
        <v>712.8</v>
      </c>
      <c r="L61" s="0" t="n">
        <v>721.3</v>
      </c>
      <c r="M61" s="0" t="n">
        <v>710.3</v>
      </c>
      <c r="N61" s="0" t="n">
        <v>721.7</v>
      </c>
      <c r="O61" s="0" t="n">
        <v>714.7</v>
      </c>
      <c r="P61" s="0" t="n">
        <v>730.7</v>
      </c>
      <c r="Q61" s="0" t="n">
        <v>766.8</v>
      </c>
      <c r="R61" s="0" t="n">
        <v>729.3</v>
      </c>
      <c r="S61" s="0" t="n">
        <v>726.8</v>
      </c>
      <c r="T61" s="0" t="n">
        <v>726.4</v>
      </c>
      <c r="U61" s="0" t="n">
        <v>731.5</v>
      </c>
      <c r="V61" s="0" t="n">
        <v>721.5</v>
      </c>
      <c r="W61" s="0" t="n">
        <v>734.9</v>
      </c>
      <c r="X61" s="6" t="n">
        <f aca="false">AVERAGE(D61:W61)</f>
        <v>724.1</v>
      </c>
      <c r="Y61" s="7" t="n">
        <f aca="false">_xlfn.STDEV.S(D61:W61)</f>
        <v>12.3462758075376</v>
      </c>
      <c r="Z61" s="7" t="n">
        <f aca="false">Y61/X61</f>
        <v>0.017050512094376</v>
      </c>
    </row>
    <row r="62" customFormat="false" ht="16.75" hidden="false" customHeight="false" outlineLevel="0" collapsed="false">
      <c r="B62" s="4"/>
      <c r="C62" s="5" t="n">
        <v>93</v>
      </c>
      <c r="D62" s="0" t="n">
        <v>727.2</v>
      </c>
      <c r="E62" s="0" t="n">
        <v>727.3</v>
      </c>
      <c r="F62" s="0" t="n">
        <v>729.5</v>
      </c>
      <c r="G62" s="0" t="n">
        <v>722.6</v>
      </c>
      <c r="H62" s="0" t="n">
        <v>717.6</v>
      </c>
      <c r="I62" s="0" t="n">
        <v>708.7</v>
      </c>
      <c r="J62" s="0" t="n">
        <v>713.6</v>
      </c>
      <c r="K62" s="0" t="n">
        <v>719</v>
      </c>
      <c r="L62" s="0" t="n">
        <v>702.5</v>
      </c>
      <c r="M62" s="0" t="n">
        <v>707</v>
      </c>
      <c r="N62" s="0" t="n">
        <v>722</v>
      </c>
      <c r="O62" s="0" t="n">
        <v>728.2</v>
      </c>
      <c r="P62" s="0" t="n">
        <v>723.4</v>
      </c>
      <c r="Q62" s="0" t="n">
        <v>726.1</v>
      </c>
      <c r="R62" s="0" t="n">
        <v>711</v>
      </c>
      <c r="S62" s="0" t="n">
        <v>722.3</v>
      </c>
      <c r="T62" s="0" t="n">
        <v>703.8</v>
      </c>
      <c r="U62" s="0" t="n">
        <v>721.2</v>
      </c>
      <c r="V62" s="0" t="n">
        <v>723</v>
      </c>
      <c r="W62" s="0" t="n">
        <v>717.2</v>
      </c>
      <c r="X62" s="6" t="n">
        <f aca="false">AVERAGE(D62:W62)</f>
        <v>718.66</v>
      </c>
      <c r="Y62" s="7" t="n">
        <f aca="false">_xlfn.STDEV.S(D62:W62)</f>
        <v>8.284125593091</v>
      </c>
      <c r="Z62" s="7" t="n">
        <f aca="false">Y62/X62</f>
        <v>0.0115271833594342</v>
      </c>
    </row>
    <row r="63" customFormat="false" ht="16.75" hidden="false" customHeight="false" outlineLevel="0" collapsed="false">
      <c r="B63" s="4" t="n">
        <v>100</v>
      </c>
      <c r="C63" s="5" t="n">
        <v>25</v>
      </c>
      <c r="D63" s="0" t="n">
        <v>637.8</v>
      </c>
      <c r="E63" s="0" t="n">
        <v>615.7</v>
      </c>
      <c r="F63" s="0" t="n">
        <v>618.3</v>
      </c>
      <c r="G63" s="0" t="n">
        <v>623.2</v>
      </c>
      <c r="H63" s="0" t="n">
        <v>631.3</v>
      </c>
      <c r="I63" s="0" t="n">
        <v>624.2</v>
      </c>
      <c r="J63" s="0" t="n">
        <v>621.1</v>
      </c>
      <c r="K63" s="0" t="n">
        <v>589.8</v>
      </c>
      <c r="L63" s="0" t="n">
        <v>629.9</v>
      </c>
      <c r="M63" s="0" t="n">
        <v>612.7</v>
      </c>
      <c r="N63" s="0" t="n">
        <v>595.7</v>
      </c>
      <c r="O63" s="0" t="n">
        <v>609.8</v>
      </c>
      <c r="P63" s="0" t="n">
        <v>623.4</v>
      </c>
      <c r="Q63" s="0" t="n">
        <v>635.8</v>
      </c>
      <c r="R63" s="0" t="n">
        <v>602.9</v>
      </c>
      <c r="S63" s="0" t="n">
        <v>635</v>
      </c>
      <c r="T63" s="0" t="n">
        <v>617.7</v>
      </c>
      <c r="U63" s="0" t="n">
        <v>677.6</v>
      </c>
      <c r="V63" s="0" t="n">
        <v>620.9</v>
      </c>
      <c r="W63" s="0" t="n">
        <v>650.8</v>
      </c>
      <c r="X63" s="6" t="n">
        <f aca="false">AVERAGE(D63:W63)</f>
        <v>623.68</v>
      </c>
      <c r="Y63" s="7" t="n">
        <f aca="false">_xlfn.STDEV.S(D63:W63)</f>
        <v>19.2396684510223</v>
      </c>
      <c r="Z63" s="7" t="n">
        <f aca="false">Y63/X63</f>
        <v>0.0308486218109003</v>
      </c>
    </row>
    <row r="64" customFormat="false" ht="16.75" hidden="false" customHeight="false" outlineLevel="0" collapsed="false">
      <c r="B64" s="4"/>
      <c r="C64" s="5" t="n">
        <v>38</v>
      </c>
      <c r="D64" s="0" t="n">
        <v>628.3</v>
      </c>
      <c r="E64" s="0" t="n">
        <v>604.3</v>
      </c>
      <c r="F64" s="0" t="n">
        <v>615.6</v>
      </c>
      <c r="G64" s="0" t="n">
        <v>637.3</v>
      </c>
      <c r="H64" s="0" t="n">
        <v>636.3</v>
      </c>
      <c r="I64" s="0" t="n">
        <v>618.3</v>
      </c>
      <c r="J64" s="0" t="n">
        <v>653.7</v>
      </c>
      <c r="K64" s="0" t="n">
        <v>638.2</v>
      </c>
      <c r="L64" s="0" t="n">
        <v>610.1</v>
      </c>
      <c r="M64" s="0" t="n">
        <v>654.5</v>
      </c>
      <c r="N64" s="0" t="n">
        <v>630.6</v>
      </c>
      <c r="O64" s="0" t="n">
        <v>645.8</v>
      </c>
      <c r="P64" s="0" t="n">
        <v>648.4</v>
      </c>
      <c r="Q64" s="0" t="n">
        <v>639.2</v>
      </c>
      <c r="R64" s="0" t="n">
        <v>651.1</v>
      </c>
      <c r="S64" s="0" t="n">
        <v>645.6</v>
      </c>
      <c r="T64" s="0" t="n">
        <v>621.5</v>
      </c>
      <c r="U64" s="0" t="n">
        <v>640.9</v>
      </c>
      <c r="V64" s="0" t="n">
        <v>653</v>
      </c>
      <c r="W64" s="0" t="n">
        <v>671.9</v>
      </c>
      <c r="X64" s="6" t="n">
        <f aca="false">AVERAGE(D64:W64)</f>
        <v>637.23</v>
      </c>
      <c r="Y64" s="7" t="n">
        <f aca="false">_xlfn.STDEV.S(D64:W64)</f>
        <v>17.0414077748104</v>
      </c>
      <c r="Z64" s="7" t="n">
        <f aca="false">Y64/X64</f>
        <v>0.0267429464633027</v>
      </c>
    </row>
    <row r="65" customFormat="false" ht="16.75" hidden="false" customHeight="false" outlineLevel="0" collapsed="false">
      <c r="B65" s="4"/>
      <c r="C65" s="5" t="n">
        <v>50</v>
      </c>
      <c r="D65" s="0" t="n">
        <v>645.5</v>
      </c>
      <c r="E65" s="0" t="n">
        <v>631.3</v>
      </c>
      <c r="F65" s="0" t="n">
        <v>648.3</v>
      </c>
      <c r="G65" s="0" t="n">
        <v>651.6</v>
      </c>
      <c r="H65" s="0" t="n">
        <v>627.1</v>
      </c>
      <c r="I65" s="0" t="n">
        <v>657.9</v>
      </c>
      <c r="J65" s="0" t="n">
        <v>653.8</v>
      </c>
      <c r="K65" s="0" t="n">
        <v>636.9</v>
      </c>
      <c r="L65" s="0" t="n">
        <v>641</v>
      </c>
      <c r="M65" s="0" t="n">
        <v>618.1</v>
      </c>
      <c r="N65" s="0" t="n">
        <v>691.8</v>
      </c>
      <c r="O65" s="0" t="n">
        <v>623.6</v>
      </c>
      <c r="P65" s="0" t="n">
        <v>640.6</v>
      </c>
      <c r="Q65" s="0" t="n">
        <v>654.7</v>
      </c>
      <c r="R65" s="0" t="n">
        <v>623.1</v>
      </c>
      <c r="S65" s="0" t="n">
        <v>625.6</v>
      </c>
      <c r="T65" s="0" t="n">
        <v>624.9</v>
      </c>
      <c r="U65" s="0" t="n">
        <v>647</v>
      </c>
      <c r="V65" s="0" t="n">
        <v>633.9</v>
      </c>
      <c r="W65" s="0" t="n">
        <v>643.2</v>
      </c>
      <c r="X65" s="6" t="n">
        <f aca="false">AVERAGE(D65:W65)</f>
        <v>640.995</v>
      </c>
      <c r="Y65" s="7" t="n">
        <f aca="false">_xlfn.STDEV.S(D65:W65)</f>
        <v>16.9257659392885</v>
      </c>
      <c r="Z65" s="7" t="n">
        <f aca="false">Y65/X65</f>
        <v>0.0264054570461369</v>
      </c>
    </row>
    <row r="66" customFormat="false" ht="16.75" hidden="false" customHeight="false" outlineLevel="0" collapsed="false">
      <c r="B66" s="4"/>
      <c r="C66" s="5" t="n">
        <v>75</v>
      </c>
      <c r="D66" s="0" t="n">
        <v>656.4</v>
      </c>
      <c r="E66" s="0" t="n">
        <v>656.1</v>
      </c>
      <c r="F66" s="0" t="n">
        <v>664.4</v>
      </c>
      <c r="G66" s="0" t="n">
        <v>692.5</v>
      </c>
      <c r="H66" s="0" t="n">
        <v>662.9</v>
      </c>
      <c r="I66" s="0" t="n">
        <v>646.3</v>
      </c>
      <c r="J66" s="0" t="n">
        <v>655.1</v>
      </c>
      <c r="K66" s="0" t="n">
        <v>655.9</v>
      </c>
      <c r="L66" s="0" t="n">
        <v>658.8</v>
      </c>
      <c r="M66" s="0" t="n">
        <v>638.9</v>
      </c>
      <c r="N66" s="0" t="n">
        <v>657.4</v>
      </c>
      <c r="O66" s="0" t="n">
        <v>665.2</v>
      </c>
      <c r="P66" s="0" t="n">
        <v>650.9</v>
      </c>
      <c r="Q66" s="0" t="n">
        <v>672.6</v>
      </c>
      <c r="R66" s="0" t="n">
        <v>656.6</v>
      </c>
      <c r="S66" s="0" t="n">
        <v>653.3</v>
      </c>
      <c r="T66" s="0" t="n">
        <v>659.8</v>
      </c>
      <c r="U66" s="0" t="n">
        <v>660.2</v>
      </c>
      <c r="V66" s="0" t="n">
        <v>668.8</v>
      </c>
      <c r="W66" s="0" t="n">
        <v>641.7</v>
      </c>
      <c r="X66" s="6" t="n">
        <f aca="false">AVERAGE(D66:W66)</f>
        <v>658.69</v>
      </c>
      <c r="Y66" s="7" t="n">
        <f aca="false">_xlfn.STDEV.S(D66:W66)</f>
        <v>11.4644943882819</v>
      </c>
      <c r="Z66" s="7" t="n">
        <f aca="false">Y66/X66</f>
        <v>0.0174049923154776</v>
      </c>
    </row>
    <row r="67" customFormat="false" ht="16.75" hidden="false" customHeight="false" outlineLevel="0" collapsed="false">
      <c r="B67" s="4"/>
      <c r="C67" s="5" t="n">
        <v>100</v>
      </c>
      <c r="D67" s="0" t="n">
        <v>667.2</v>
      </c>
      <c r="E67" s="0" t="n">
        <v>685.1</v>
      </c>
      <c r="F67" s="0" t="n">
        <v>676.7</v>
      </c>
      <c r="G67" s="0" t="n">
        <v>651.3</v>
      </c>
      <c r="H67" s="0" t="n">
        <v>699.3</v>
      </c>
      <c r="I67" s="0" t="n">
        <v>647.6</v>
      </c>
      <c r="J67" s="0" t="n">
        <v>674</v>
      </c>
      <c r="K67" s="0" t="n">
        <v>690.2</v>
      </c>
      <c r="L67" s="0" t="n">
        <v>673.4</v>
      </c>
      <c r="M67" s="0" t="n">
        <v>671.2</v>
      </c>
      <c r="N67" s="0" t="n">
        <v>671.3</v>
      </c>
      <c r="O67" s="0" t="n">
        <v>694.9</v>
      </c>
      <c r="P67" s="0" t="n">
        <v>657.4</v>
      </c>
      <c r="Q67" s="0" t="n">
        <v>672.4</v>
      </c>
      <c r="R67" s="0" t="n">
        <v>677.1</v>
      </c>
      <c r="S67" s="0" t="n">
        <v>681.8</v>
      </c>
      <c r="T67" s="0" t="n">
        <v>679.9</v>
      </c>
      <c r="U67" s="0" t="n">
        <v>683.4</v>
      </c>
      <c r="V67" s="0" t="n">
        <v>678.3</v>
      </c>
      <c r="W67" s="0" t="n">
        <v>679.5</v>
      </c>
      <c r="X67" s="6" t="n">
        <f aca="false">AVERAGE(D67:W67)</f>
        <v>675.6</v>
      </c>
      <c r="Y67" s="7" t="n">
        <f aca="false">_xlfn.STDEV.S(D67:W67)</f>
        <v>13.0042503173305</v>
      </c>
      <c r="Z67" s="7" t="n">
        <f aca="false">Y67/X67</f>
        <v>0.0192484462956342</v>
      </c>
    </row>
    <row r="68" customFormat="false" ht="16.75" hidden="false" customHeight="false" outlineLevel="0" collapsed="false">
      <c r="B68" s="4"/>
      <c r="C68" s="5" t="n">
        <v>150</v>
      </c>
      <c r="D68" s="0" t="n">
        <v>706.5</v>
      </c>
      <c r="E68" s="0" t="n">
        <v>707.4</v>
      </c>
      <c r="F68" s="0" t="n">
        <v>703.2</v>
      </c>
      <c r="G68" s="0" t="n">
        <v>724</v>
      </c>
      <c r="H68" s="0" t="n">
        <v>712.8</v>
      </c>
      <c r="I68" s="0" t="n">
        <v>694.8</v>
      </c>
      <c r="J68" s="0" t="n">
        <v>723.4</v>
      </c>
      <c r="K68" s="0" t="n">
        <v>713</v>
      </c>
      <c r="L68" s="0" t="n">
        <v>699.9</v>
      </c>
      <c r="M68" s="0" t="n">
        <v>694.2</v>
      </c>
      <c r="N68" s="0" t="n">
        <v>671.8</v>
      </c>
      <c r="O68" s="0" t="n">
        <v>706.6</v>
      </c>
      <c r="P68" s="0" t="n">
        <v>699.6</v>
      </c>
      <c r="Q68" s="0" t="n">
        <v>721.3</v>
      </c>
      <c r="R68" s="0" t="n">
        <v>706.2</v>
      </c>
      <c r="S68" s="0" t="n">
        <v>690.5</v>
      </c>
      <c r="T68" s="0" t="n">
        <v>701.9</v>
      </c>
      <c r="U68" s="0" t="n">
        <v>679.5</v>
      </c>
      <c r="V68" s="0" t="n">
        <v>687.4</v>
      </c>
      <c r="W68" s="0" t="n">
        <v>716</v>
      </c>
      <c r="X68" s="6" t="n">
        <f aca="false">AVERAGE(D68:W68)</f>
        <v>703</v>
      </c>
      <c r="Y68" s="7" t="n">
        <f aca="false">_xlfn.STDEV.S(D68:W68)</f>
        <v>13.9629208224761</v>
      </c>
      <c r="Z68" s="7" t="n">
        <f aca="false">Y68/X68</f>
        <v>0.0198619072865947</v>
      </c>
    </row>
    <row r="69" customFormat="false" ht="15" hidden="false" customHeight="true" outlineLevel="0" collapsed="false">
      <c r="A69" s="1" t="s">
        <v>39</v>
      </c>
      <c r="B69" s="1"/>
      <c r="C69" s="1"/>
    </row>
    <row r="70" customFormat="false" ht="15" hidden="false" customHeight="false" outlineLevel="0" collapsed="false">
      <c r="A70" s="1"/>
      <c r="B70" s="1"/>
      <c r="C70" s="1"/>
      <c r="D70" s="2" t="s">
        <v>30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9.85" hidden="false" customHeight="false" outlineLevel="0" collapsed="false"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 t="s">
        <v>16</v>
      </c>
      <c r="Q73" s="3" t="s">
        <v>17</v>
      </c>
      <c r="R73" s="3" t="s">
        <v>18</v>
      </c>
      <c r="S73" s="3" t="s">
        <v>19</v>
      </c>
      <c r="T73" s="3" t="s">
        <v>20</v>
      </c>
      <c r="U73" s="3" t="s">
        <v>21</v>
      </c>
      <c r="V73" s="3" t="s">
        <v>22</v>
      </c>
      <c r="W73" s="3" t="s">
        <v>23</v>
      </c>
      <c r="X73" s="3" t="s">
        <v>24</v>
      </c>
      <c r="Y73" s="3" t="s">
        <v>25</v>
      </c>
      <c r="Z73" s="3" t="s">
        <v>26</v>
      </c>
    </row>
    <row r="74" customFormat="false" ht="16.75" hidden="false" customHeight="false" outlineLevel="0" collapsed="false">
      <c r="B74" s="4" t="n">
        <v>25</v>
      </c>
      <c r="C74" s="5" t="n">
        <v>13</v>
      </c>
      <c r="D74" s="0" t="n">
        <v>741.7</v>
      </c>
      <c r="E74" s="0" t="n">
        <v>739.5</v>
      </c>
      <c r="F74" s="0" t="n">
        <v>741.5</v>
      </c>
      <c r="G74" s="0" t="n">
        <v>740.8</v>
      </c>
      <c r="H74" s="0" t="n">
        <v>742.3</v>
      </c>
      <c r="I74" s="0" t="n">
        <v>747.6</v>
      </c>
      <c r="J74" s="0" t="n">
        <v>748.9</v>
      </c>
      <c r="K74" s="0" t="n">
        <v>738.8</v>
      </c>
      <c r="L74" s="0" t="n">
        <v>736.1</v>
      </c>
      <c r="M74" s="0" t="n">
        <v>732.1</v>
      </c>
      <c r="N74" s="0" t="n">
        <v>740.6</v>
      </c>
      <c r="O74" s="0" t="n">
        <v>741.6</v>
      </c>
      <c r="P74" s="0" t="n">
        <v>732.6</v>
      </c>
      <c r="Q74" s="0" t="n">
        <v>740.1</v>
      </c>
      <c r="R74" s="0" t="n">
        <v>740.7</v>
      </c>
      <c r="S74" s="0" t="n">
        <v>739.8</v>
      </c>
      <c r="T74" s="0" t="n">
        <v>734.9</v>
      </c>
      <c r="U74" s="0" t="n">
        <v>743</v>
      </c>
      <c r="V74" s="0" t="n">
        <v>746.6</v>
      </c>
      <c r="W74" s="0" t="n">
        <v>738.6</v>
      </c>
      <c r="X74" s="6" t="n">
        <f aca="false">AVERAGE(D74:W74)</f>
        <v>740.39</v>
      </c>
      <c r="Y74" s="7" t="n">
        <f aca="false">_xlfn.STDEV.S(D74:W74)</f>
        <v>4.37130595926134</v>
      </c>
      <c r="Z74" s="7" t="n">
        <f aca="false">Y74/X74</f>
        <v>0.00590405861675784</v>
      </c>
    </row>
    <row r="75" customFormat="false" ht="16.75" hidden="false" customHeight="false" outlineLevel="0" collapsed="false">
      <c r="B75" s="4"/>
      <c r="C75" s="5" t="n">
        <v>25</v>
      </c>
      <c r="D75" s="0" t="n">
        <v>756</v>
      </c>
      <c r="E75" s="0" t="n">
        <v>754.7</v>
      </c>
      <c r="F75" s="0" t="n">
        <v>759.7</v>
      </c>
      <c r="G75" s="0" t="n">
        <v>748</v>
      </c>
      <c r="H75" s="0" t="n">
        <v>763.3</v>
      </c>
      <c r="I75" s="0" t="n">
        <v>754.8</v>
      </c>
      <c r="J75" s="0" t="n">
        <v>748.9</v>
      </c>
      <c r="K75" s="0" t="n">
        <v>761.3</v>
      </c>
      <c r="L75" s="0" t="n">
        <v>759.4</v>
      </c>
      <c r="M75" s="0" t="n">
        <v>757.7</v>
      </c>
      <c r="N75" s="0" t="n">
        <v>752.8</v>
      </c>
      <c r="O75" s="0" t="n">
        <v>754.6</v>
      </c>
      <c r="P75" s="0" t="n">
        <v>751.3</v>
      </c>
      <c r="Q75" s="0" t="n">
        <v>754.1</v>
      </c>
      <c r="R75" s="0" t="n">
        <v>752.3</v>
      </c>
      <c r="S75" s="0" t="n">
        <v>764.6</v>
      </c>
      <c r="T75" s="0" t="n">
        <v>757.7</v>
      </c>
      <c r="U75" s="0" t="n">
        <v>759.6</v>
      </c>
      <c r="V75" s="0" t="n">
        <v>755.5</v>
      </c>
      <c r="W75" s="0" t="n">
        <v>749.6</v>
      </c>
      <c r="X75" s="6" t="n">
        <f aca="false">AVERAGE(D75:W75)</f>
        <v>755.795</v>
      </c>
      <c r="Y75" s="7" t="n">
        <f aca="false">_xlfn.STDEV.S(D75:W75)</f>
        <v>4.63867891810408</v>
      </c>
      <c r="Z75" s="7" t="n">
        <f aca="false">Y75/X75</f>
        <v>0.00613748293929449</v>
      </c>
    </row>
    <row r="76" customFormat="false" ht="16.75" hidden="false" customHeight="false" outlineLevel="0" collapsed="false">
      <c r="B76" s="4"/>
      <c r="C76" s="5" t="n">
        <v>38</v>
      </c>
      <c r="D76" s="0" t="n">
        <v>775.7</v>
      </c>
      <c r="E76" s="0" t="n">
        <v>773.7</v>
      </c>
      <c r="F76" s="0" t="n">
        <v>771.7</v>
      </c>
      <c r="G76" s="0" t="n">
        <v>773.3</v>
      </c>
      <c r="H76" s="0" t="n">
        <v>768.5</v>
      </c>
      <c r="I76" s="0" t="n">
        <v>774.8</v>
      </c>
      <c r="J76" s="0" t="n">
        <v>773.7</v>
      </c>
      <c r="K76" s="0" t="n">
        <v>770.5</v>
      </c>
      <c r="L76" s="0" t="n">
        <v>771.5</v>
      </c>
      <c r="M76" s="0" t="n">
        <v>775.4</v>
      </c>
      <c r="N76" s="0" t="n">
        <v>772.9</v>
      </c>
      <c r="O76" s="0" t="n">
        <v>768.6</v>
      </c>
      <c r="P76" s="0" t="n">
        <v>772.5</v>
      </c>
      <c r="Q76" s="0" t="n">
        <v>781.6</v>
      </c>
      <c r="R76" s="0" t="n">
        <v>769.1</v>
      </c>
      <c r="S76" s="0" t="n">
        <v>773.3</v>
      </c>
      <c r="T76" s="0" t="n">
        <v>771.7</v>
      </c>
      <c r="U76" s="0" t="n">
        <v>788</v>
      </c>
      <c r="V76" s="0" t="n">
        <v>774.3</v>
      </c>
      <c r="W76" s="0" t="n">
        <v>775.5</v>
      </c>
      <c r="X76" s="6" t="n">
        <f aca="false">AVERAGE(D76:W76)</f>
        <v>773.815</v>
      </c>
      <c r="Y76" s="7" t="n">
        <f aca="false">_xlfn.STDEV.S(D76:W76)</f>
        <v>4.46050209588208</v>
      </c>
      <c r="Z76" s="7" t="n">
        <f aca="false">Y76/X76</f>
        <v>0.00576430037655264</v>
      </c>
    </row>
    <row r="77" customFormat="false" ht="16.75" hidden="false" customHeight="false" outlineLevel="0" collapsed="false">
      <c r="B77" s="4" t="n">
        <v>63</v>
      </c>
      <c r="C77" s="5" t="n">
        <v>31</v>
      </c>
      <c r="D77" s="0" t="n">
        <v>703</v>
      </c>
      <c r="E77" s="0" t="n">
        <v>697.3</v>
      </c>
      <c r="F77" s="0" t="n">
        <v>703.9</v>
      </c>
      <c r="G77" s="0" t="n">
        <v>712.1</v>
      </c>
      <c r="H77" s="0" t="n">
        <v>710.7</v>
      </c>
      <c r="I77" s="0" t="n">
        <v>701.8</v>
      </c>
      <c r="J77" s="0" t="n">
        <v>698.1</v>
      </c>
      <c r="K77" s="0" t="n">
        <v>702.1</v>
      </c>
      <c r="L77" s="0" t="n">
        <v>697.9</v>
      </c>
      <c r="M77" s="0" t="n">
        <v>693.7</v>
      </c>
      <c r="N77" s="0" t="n">
        <v>697.2</v>
      </c>
      <c r="O77" s="0" t="n">
        <v>691.8</v>
      </c>
      <c r="P77" s="0" t="n">
        <v>695.9</v>
      </c>
      <c r="Q77" s="0" t="n">
        <v>711.6</v>
      </c>
      <c r="R77" s="0" t="n">
        <v>697.2</v>
      </c>
      <c r="S77" s="0" t="n">
        <v>708.6</v>
      </c>
      <c r="T77" s="0" t="n">
        <v>721</v>
      </c>
      <c r="U77" s="0" t="n">
        <v>712.3</v>
      </c>
      <c r="V77" s="0" t="n">
        <v>702.2</v>
      </c>
      <c r="W77" s="0" t="n">
        <v>704.4</v>
      </c>
      <c r="X77" s="6" t="n">
        <f aca="false">AVERAGE(D77:W77)</f>
        <v>703.14</v>
      </c>
      <c r="Y77" s="7" t="n">
        <f aca="false">_xlfn.STDEV.S(D77:W77)</f>
        <v>7.52297533524715</v>
      </c>
      <c r="Z77" s="7" t="n">
        <f aca="false">Y77/X77</f>
        <v>0.0106991144512432</v>
      </c>
    </row>
    <row r="78" customFormat="false" ht="16.75" hidden="false" customHeight="false" outlineLevel="0" collapsed="false">
      <c r="B78" s="4"/>
      <c r="C78" s="5" t="n">
        <v>63</v>
      </c>
      <c r="D78" s="0" t="n">
        <v>740.7</v>
      </c>
      <c r="E78" s="0" t="n">
        <v>733.8</v>
      </c>
      <c r="F78" s="0" t="n">
        <v>740.6</v>
      </c>
      <c r="G78" s="0" t="n">
        <v>738.6</v>
      </c>
      <c r="H78" s="0" t="n">
        <v>740.8</v>
      </c>
      <c r="I78" s="0" t="n">
        <v>752.1</v>
      </c>
      <c r="J78" s="0" t="n">
        <v>742.7</v>
      </c>
      <c r="K78" s="0" t="n">
        <v>732.1</v>
      </c>
      <c r="L78" s="0" t="n">
        <v>735.7</v>
      </c>
      <c r="M78" s="0" t="n">
        <v>739.7</v>
      </c>
      <c r="N78" s="0" t="n">
        <v>727.6</v>
      </c>
      <c r="O78" s="0" t="n">
        <v>740.4</v>
      </c>
      <c r="P78" s="0" t="n">
        <v>741</v>
      </c>
      <c r="Q78" s="0" t="n">
        <v>752.2</v>
      </c>
      <c r="R78" s="0" t="n">
        <v>789</v>
      </c>
      <c r="S78" s="0" t="n">
        <v>741.4</v>
      </c>
      <c r="T78" s="0" t="n">
        <v>744.2</v>
      </c>
      <c r="U78" s="0" t="n">
        <v>739.4</v>
      </c>
      <c r="V78" s="0" t="n">
        <v>732.9</v>
      </c>
      <c r="W78" s="0" t="n">
        <v>752.2</v>
      </c>
      <c r="X78" s="6" t="n">
        <f aca="false">AVERAGE(D78:W78)</f>
        <v>742.855</v>
      </c>
      <c r="Y78" s="7" t="n">
        <f aca="false">_xlfn.STDEV.S(D78:W78)</f>
        <v>12.643969854607</v>
      </c>
      <c r="Z78" s="7" t="n">
        <f aca="false">Y78/X78</f>
        <v>0.0170207777488299</v>
      </c>
    </row>
    <row r="79" customFormat="false" ht="16.75" hidden="false" customHeight="false" outlineLevel="0" collapsed="false">
      <c r="B79" s="4"/>
      <c r="C79" s="5" t="n">
        <v>93</v>
      </c>
      <c r="D79" s="0" t="n">
        <v>758.8</v>
      </c>
      <c r="E79" s="0" t="n">
        <v>742.2</v>
      </c>
      <c r="F79" s="0" t="n">
        <v>749.8</v>
      </c>
      <c r="G79" s="0" t="n">
        <v>750.2</v>
      </c>
      <c r="H79" s="0" t="n">
        <v>747.1</v>
      </c>
      <c r="I79" s="0" t="n">
        <v>757.6</v>
      </c>
      <c r="J79" s="0" t="n">
        <v>759.9</v>
      </c>
      <c r="K79" s="0" t="n">
        <v>740.6</v>
      </c>
      <c r="L79" s="0" t="n">
        <v>754.4</v>
      </c>
      <c r="M79" s="0" t="n">
        <v>750.3</v>
      </c>
      <c r="N79" s="0" t="n">
        <v>743.4</v>
      </c>
      <c r="O79" s="0" t="n">
        <v>745.2</v>
      </c>
      <c r="P79" s="0" t="n">
        <v>743.1</v>
      </c>
      <c r="Q79" s="0" t="n">
        <v>736.2</v>
      </c>
      <c r="R79" s="0" t="n">
        <v>749.7</v>
      </c>
      <c r="S79" s="0" t="n">
        <v>745.3</v>
      </c>
      <c r="T79" s="0" t="n">
        <v>744.8</v>
      </c>
      <c r="U79" s="0" t="n">
        <v>760</v>
      </c>
      <c r="V79" s="0" t="n">
        <v>752.2</v>
      </c>
      <c r="W79" s="0" t="n">
        <v>754.7</v>
      </c>
      <c r="X79" s="6" t="n">
        <f aca="false">AVERAGE(D79:W79)</f>
        <v>749.275</v>
      </c>
      <c r="Y79" s="7" t="n">
        <f aca="false">_xlfn.STDEV.S(D79:W79)</f>
        <v>6.80803511339821</v>
      </c>
      <c r="Z79" s="7" t="n">
        <f aca="false">Y79/X79</f>
        <v>0.00908616344252539</v>
      </c>
    </row>
    <row r="80" customFormat="false" ht="16.75" hidden="false" customHeight="false" outlineLevel="0" collapsed="false">
      <c r="B80" s="4" t="n">
        <v>100</v>
      </c>
      <c r="C80" s="5" t="n">
        <v>25</v>
      </c>
      <c r="D80" s="0" t="n">
        <v>654.2</v>
      </c>
      <c r="E80" s="0" t="n">
        <v>639.7</v>
      </c>
      <c r="F80" s="0" t="n">
        <v>685.8</v>
      </c>
      <c r="G80" s="0" t="n">
        <v>679.3</v>
      </c>
      <c r="H80" s="0" t="n">
        <v>650.9</v>
      </c>
      <c r="I80" s="0" t="n">
        <v>660.3</v>
      </c>
      <c r="J80" s="0" t="n">
        <v>638.1</v>
      </c>
      <c r="K80" s="0" t="n">
        <v>652.2</v>
      </c>
      <c r="L80" s="0" t="n">
        <v>667.9</v>
      </c>
      <c r="M80" s="0" t="n">
        <v>651.9</v>
      </c>
      <c r="N80" s="0" t="n">
        <v>661.4</v>
      </c>
      <c r="O80" s="0" t="n">
        <v>665.1</v>
      </c>
      <c r="P80" s="0" t="n">
        <v>647.4</v>
      </c>
      <c r="Q80" s="0" t="n">
        <v>617.4</v>
      </c>
      <c r="R80" s="0" t="n">
        <v>626.5</v>
      </c>
      <c r="S80" s="0" t="n">
        <v>660</v>
      </c>
      <c r="T80" s="0" t="n">
        <v>675.8</v>
      </c>
      <c r="U80" s="0" t="n">
        <v>652.7</v>
      </c>
      <c r="V80" s="0" t="n">
        <v>673.5</v>
      </c>
      <c r="W80" s="0" t="n">
        <v>657.7</v>
      </c>
      <c r="X80" s="6" t="n">
        <f aca="false">AVERAGE(D80:W80)</f>
        <v>655.89</v>
      </c>
      <c r="Y80" s="7" t="n">
        <f aca="false">_xlfn.STDEV.S(D80:W80)</f>
        <v>17.0318556024632</v>
      </c>
      <c r="Z80" s="7" t="n">
        <f aca="false">Y80/X80</f>
        <v>0.0259675488305405</v>
      </c>
    </row>
    <row r="81" customFormat="false" ht="16.75" hidden="false" customHeight="false" outlineLevel="0" collapsed="false">
      <c r="B81" s="4"/>
      <c r="C81" s="5" t="n">
        <v>38</v>
      </c>
      <c r="D81" s="0" t="n">
        <v>661.8</v>
      </c>
      <c r="E81" s="0" t="n">
        <v>654.5</v>
      </c>
      <c r="F81" s="0" t="n">
        <v>650.3</v>
      </c>
      <c r="G81" s="0" t="n">
        <v>681.7</v>
      </c>
      <c r="H81" s="0" t="n">
        <v>685.3</v>
      </c>
      <c r="I81" s="0" t="n">
        <v>670.5</v>
      </c>
      <c r="J81" s="0" t="n">
        <v>654.7</v>
      </c>
      <c r="K81" s="0" t="n">
        <v>668.1</v>
      </c>
      <c r="L81" s="0" t="n">
        <v>686.7</v>
      </c>
      <c r="M81" s="0" t="n">
        <v>671.4</v>
      </c>
      <c r="N81" s="0" t="n">
        <v>662.5</v>
      </c>
      <c r="O81" s="0" t="n">
        <v>680.1</v>
      </c>
      <c r="P81" s="0" t="n">
        <v>679.1</v>
      </c>
      <c r="Q81" s="0" t="n">
        <v>671.1</v>
      </c>
      <c r="R81" s="0" t="n">
        <v>682.4</v>
      </c>
      <c r="S81" s="0" t="n">
        <v>645.9</v>
      </c>
      <c r="T81" s="0" t="n">
        <v>673.7</v>
      </c>
      <c r="U81" s="0" t="n">
        <v>685.8</v>
      </c>
      <c r="V81" s="0" t="n">
        <v>670.9</v>
      </c>
      <c r="W81" s="0" t="n">
        <v>676.6</v>
      </c>
      <c r="X81" s="6" t="n">
        <f aca="false">AVERAGE(D81:W81)</f>
        <v>670.655</v>
      </c>
      <c r="Y81" s="7" t="n">
        <f aca="false">_xlfn.STDEV.S(D81:W81)</f>
        <v>12.2717679848376</v>
      </c>
      <c r="Z81" s="7" t="n">
        <f aca="false">Y81/X81</f>
        <v>0.0182981830968793</v>
      </c>
    </row>
    <row r="82" customFormat="false" ht="16.75" hidden="false" customHeight="false" outlineLevel="0" collapsed="false">
      <c r="B82" s="4"/>
      <c r="C82" s="5" t="n">
        <v>50</v>
      </c>
      <c r="D82" s="0" t="n">
        <v>691.4</v>
      </c>
      <c r="E82" s="0" t="n">
        <v>695.5</v>
      </c>
      <c r="F82" s="0" t="n">
        <v>708.1</v>
      </c>
      <c r="G82" s="0" t="n">
        <v>699.8</v>
      </c>
      <c r="H82" s="0" t="n">
        <v>695.8</v>
      </c>
      <c r="I82" s="0" t="n">
        <v>686.1</v>
      </c>
      <c r="J82" s="0" t="n">
        <v>695.4</v>
      </c>
      <c r="K82" s="0" t="n">
        <v>673.5</v>
      </c>
      <c r="L82" s="0" t="n">
        <v>696</v>
      </c>
      <c r="M82" s="0" t="n">
        <v>663.5</v>
      </c>
      <c r="N82" s="0" t="n">
        <v>679.6</v>
      </c>
      <c r="O82" s="0" t="n">
        <v>719.6</v>
      </c>
      <c r="P82" s="0" t="n">
        <v>684.5</v>
      </c>
      <c r="Q82" s="0" t="n">
        <v>696.2</v>
      </c>
      <c r="R82" s="0" t="n">
        <v>684.5</v>
      </c>
      <c r="S82" s="0" t="n">
        <v>694.6</v>
      </c>
      <c r="T82" s="0" t="n">
        <v>684.4</v>
      </c>
      <c r="U82" s="0" t="n">
        <v>700.7</v>
      </c>
      <c r="V82" s="0" t="n">
        <v>674.8</v>
      </c>
      <c r="W82" s="0" t="n">
        <v>663.3</v>
      </c>
      <c r="X82" s="6" t="n">
        <f aca="false">AVERAGE(D82:W82)</f>
        <v>689.365</v>
      </c>
      <c r="Y82" s="7" t="n">
        <f aca="false">_xlfn.STDEV.S(D82:W82)</f>
        <v>14.012223047641</v>
      </c>
      <c r="Z82" s="7" t="n">
        <f aca="false">Y82/X82</f>
        <v>0.0203262756995801</v>
      </c>
    </row>
    <row r="83" customFormat="false" ht="16.75" hidden="false" customHeight="false" outlineLevel="0" collapsed="false">
      <c r="B83" s="4"/>
      <c r="C83" s="5" t="n">
        <v>75</v>
      </c>
      <c r="D83" s="0" t="n">
        <v>691.6</v>
      </c>
      <c r="E83" s="0" t="n">
        <v>706.8</v>
      </c>
      <c r="F83" s="0" t="n">
        <v>685.7</v>
      </c>
      <c r="G83" s="0" t="n">
        <v>692.4</v>
      </c>
      <c r="H83" s="0" t="n">
        <v>712.7</v>
      </c>
      <c r="I83" s="0" t="n">
        <v>712.1</v>
      </c>
      <c r="J83" s="0" t="n">
        <v>683.6</v>
      </c>
      <c r="K83" s="0" t="n">
        <v>708.7</v>
      </c>
      <c r="L83" s="0" t="n">
        <v>702.6</v>
      </c>
      <c r="M83" s="0" t="n">
        <v>687.9</v>
      </c>
      <c r="N83" s="0" t="n">
        <v>684.9</v>
      </c>
      <c r="O83" s="0" t="n">
        <v>702.9</v>
      </c>
      <c r="P83" s="0" t="n">
        <v>716.4</v>
      </c>
      <c r="Q83" s="0" t="n">
        <v>703.6</v>
      </c>
      <c r="R83" s="0" t="n">
        <v>696.4</v>
      </c>
      <c r="S83" s="0" t="n">
        <v>700.2</v>
      </c>
      <c r="T83" s="0" t="n">
        <v>702.7</v>
      </c>
      <c r="U83" s="0" t="n">
        <v>704.2</v>
      </c>
      <c r="V83" s="0" t="n">
        <v>702.5</v>
      </c>
      <c r="W83" s="0" t="n">
        <v>692.5</v>
      </c>
      <c r="X83" s="6" t="n">
        <f aca="false">AVERAGE(D83:W83)</f>
        <v>699.52</v>
      </c>
      <c r="Y83" s="7" t="n">
        <f aca="false">_xlfn.STDEV.S(D83:W83)</f>
        <v>9.72985638450835</v>
      </c>
      <c r="Z83" s="7" t="n">
        <f aca="false">Y83/X83</f>
        <v>0.0139093326631238</v>
      </c>
    </row>
    <row r="84" customFormat="false" ht="16.75" hidden="false" customHeight="false" outlineLevel="0" collapsed="false">
      <c r="B84" s="4"/>
      <c r="C84" s="5" t="n">
        <v>100</v>
      </c>
      <c r="D84" s="0" t="n">
        <v>723.5</v>
      </c>
      <c r="E84" s="0" t="n">
        <v>708.8</v>
      </c>
      <c r="F84" s="0" t="n">
        <v>738.5</v>
      </c>
      <c r="G84" s="0" t="n">
        <v>687.6</v>
      </c>
      <c r="H84" s="0" t="n">
        <v>712.9</v>
      </c>
      <c r="I84" s="0" t="n">
        <v>706.2</v>
      </c>
      <c r="J84" s="0" t="n">
        <v>691.5</v>
      </c>
      <c r="K84" s="0" t="n">
        <v>742.7</v>
      </c>
      <c r="L84" s="0" t="n">
        <v>718.4</v>
      </c>
      <c r="M84" s="0" t="n">
        <v>702.7</v>
      </c>
      <c r="N84" s="0" t="n">
        <v>704.8</v>
      </c>
      <c r="O84" s="0" t="n">
        <v>718.7</v>
      </c>
      <c r="P84" s="0" t="n">
        <v>696</v>
      </c>
      <c r="Q84" s="0" t="n">
        <v>721.5</v>
      </c>
      <c r="R84" s="0" t="n">
        <v>723.1</v>
      </c>
      <c r="S84" s="0" t="n">
        <v>724.7</v>
      </c>
      <c r="T84" s="0" t="n">
        <v>680</v>
      </c>
      <c r="U84" s="0" t="n">
        <v>730</v>
      </c>
      <c r="V84" s="0" t="n">
        <v>683.8</v>
      </c>
      <c r="W84" s="0" t="n">
        <v>723</v>
      </c>
      <c r="X84" s="6" t="n">
        <f aca="false">AVERAGE(D84:W84)</f>
        <v>711.92</v>
      </c>
      <c r="Y84" s="7" t="n">
        <f aca="false">_xlfn.STDEV.S(D84:W84)</f>
        <v>17.7056815145517</v>
      </c>
      <c r="Z84" s="7" t="n">
        <f aca="false">Y84/X84</f>
        <v>0.0248703246355654</v>
      </c>
    </row>
    <row r="85" customFormat="false" ht="16.75" hidden="false" customHeight="false" outlineLevel="0" collapsed="false">
      <c r="B85" s="4"/>
      <c r="C85" s="5" t="n">
        <v>150</v>
      </c>
      <c r="D85" s="0" t="n">
        <v>760.1</v>
      </c>
      <c r="E85" s="0" t="n">
        <v>755.5</v>
      </c>
      <c r="F85" s="0" t="n">
        <v>719.4</v>
      </c>
      <c r="G85" s="0" t="n">
        <v>754.2</v>
      </c>
      <c r="H85" s="0" t="n">
        <v>747.7</v>
      </c>
      <c r="I85" s="0" t="n">
        <v>750.4</v>
      </c>
      <c r="J85" s="0" t="n">
        <v>747.5</v>
      </c>
      <c r="K85" s="0" t="n">
        <v>741.4</v>
      </c>
      <c r="L85" s="0" t="n">
        <v>760.7</v>
      </c>
      <c r="M85" s="0" t="n">
        <v>750.1</v>
      </c>
      <c r="N85" s="0" t="n">
        <v>733.6</v>
      </c>
      <c r="O85" s="0" t="n">
        <v>717.4</v>
      </c>
      <c r="P85" s="0" t="n">
        <v>734.6</v>
      </c>
      <c r="Q85" s="0" t="n">
        <v>750.9</v>
      </c>
      <c r="R85" s="0" t="n">
        <v>749.6</v>
      </c>
      <c r="S85" s="0" t="n">
        <v>749.3</v>
      </c>
      <c r="T85" s="0" t="n">
        <v>743.3</v>
      </c>
      <c r="U85" s="0" t="n">
        <v>745.3</v>
      </c>
      <c r="V85" s="0" t="n">
        <v>746.2</v>
      </c>
      <c r="W85" s="0" t="n">
        <v>755.2</v>
      </c>
      <c r="X85" s="6" t="n">
        <f aca="false">AVERAGE(D85:W85)</f>
        <v>745.62</v>
      </c>
      <c r="Y85" s="7" t="n">
        <f aca="false">_xlfn.STDEV.S(D85:W85)</f>
        <v>11.6563332683635</v>
      </c>
      <c r="Z85" s="7" t="n">
        <f aca="false">Y85/X85</f>
        <v>0.0156330748482652</v>
      </c>
    </row>
    <row r="86" customFormat="false" ht="15" hidden="false" customHeight="true" outlineLevel="0" collapsed="false">
      <c r="A86" s="1" t="s">
        <v>39</v>
      </c>
      <c r="B86" s="1"/>
      <c r="C86" s="1"/>
    </row>
    <row r="87" customFormat="false" ht="15" hidden="false" customHeight="false" outlineLevel="0" collapsed="false">
      <c r="A87" s="1"/>
      <c r="B87" s="1"/>
      <c r="C87" s="1"/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9.85" hidden="false" customHeight="false" outlineLevel="0" collapsed="false"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 t="s">
        <v>16</v>
      </c>
      <c r="Q90" s="3" t="s">
        <v>17</v>
      </c>
      <c r="R90" s="3" t="s">
        <v>18</v>
      </c>
      <c r="S90" s="3" t="s">
        <v>19</v>
      </c>
      <c r="T90" s="3" t="s">
        <v>20</v>
      </c>
      <c r="U90" s="3" t="s">
        <v>21</v>
      </c>
      <c r="V90" s="3" t="s">
        <v>22</v>
      </c>
      <c r="W90" s="3" t="s">
        <v>23</v>
      </c>
      <c r="X90" s="3" t="s">
        <v>24</v>
      </c>
      <c r="Y90" s="3" t="s">
        <v>25</v>
      </c>
      <c r="Z90" s="3" t="s">
        <v>26</v>
      </c>
    </row>
    <row r="91" customFormat="false" ht="16.75" hidden="false" customHeight="false" outlineLevel="0" collapsed="false">
      <c r="B91" s="4" t="n">
        <v>25</v>
      </c>
      <c r="C91" s="5" t="n">
        <v>13</v>
      </c>
      <c r="D91" s="0" t="n">
        <v>728.1</v>
      </c>
      <c r="E91" s="0" t="n">
        <v>730.2</v>
      </c>
      <c r="F91" s="0" t="n">
        <v>731</v>
      </c>
      <c r="G91" s="0" t="n">
        <v>739.2</v>
      </c>
      <c r="H91" s="0" t="n">
        <v>732.2</v>
      </c>
      <c r="I91" s="0" t="n">
        <v>725.4</v>
      </c>
      <c r="J91" s="0" t="n">
        <v>739.6</v>
      </c>
      <c r="K91" s="0" t="n">
        <v>724.6</v>
      </c>
      <c r="L91" s="0" t="n">
        <v>742.4</v>
      </c>
      <c r="M91" s="0" t="n">
        <v>735.4</v>
      </c>
      <c r="N91" s="0" t="n">
        <v>732.1</v>
      </c>
      <c r="O91" s="0" t="n">
        <v>721.9</v>
      </c>
      <c r="P91" s="0" t="n">
        <v>732.3</v>
      </c>
      <c r="Q91" s="0" t="n">
        <v>730.8</v>
      </c>
      <c r="R91" s="0" t="n">
        <v>731.8</v>
      </c>
      <c r="S91" s="0" t="n">
        <v>726.8</v>
      </c>
      <c r="T91" s="0" t="n">
        <v>727.4</v>
      </c>
      <c r="U91" s="0" t="n">
        <v>729.4</v>
      </c>
      <c r="V91" s="0" t="n">
        <v>724.1</v>
      </c>
      <c r="W91" s="0" t="n">
        <v>740</v>
      </c>
      <c r="X91" s="6" t="n">
        <f aca="false">AVERAGE(D91:W91)</f>
        <v>731.235</v>
      </c>
      <c r="Y91" s="7" t="n">
        <f aca="false">_xlfn.STDEV.S(D91:W91)</f>
        <v>5.7141813430318</v>
      </c>
      <c r="Z91" s="7" t="n">
        <f aca="false">Y91/X91</f>
        <v>0.00781442538039317</v>
      </c>
    </row>
    <row r="92" customFormat="false" ht="16.75" hidden="false" customHeight="false" outlineLevel="0" collapsed="false">
      <c r="B92" s="4"/>
      <c r="C92" s="5" t="n">
        <v>25</v>
      </c>
      <c r="D92" s="0" t="n">
        <v>758.3</v>
      </c>
      <c r="E92" s="0" t="n">
        <v>752.5</v>
      </c>
      <c r="F92" s="0" t="n">
        <v>743.4</v>
      </c>
      <c r="G92" s="0" t="n">
        <v>741.6</v>
      </c>
      <c r="H92" s="0" t="n">
        <v>741.3</v>
      </c>
      <c r="I92" s="0" t="n">
        <v>758.7</v>
      </c>
      <c r="J92" s="0" t="n">
        <v>753.2</v>
      </c>
      <c r="K92" s="0" t="n">
        <v>752.7</v>
      </c>
      <c r="L92" s="0" t="n">
        <v>750.2</v>
      </c>
      <c r="M92" s="0" t="n">
        <v>747.2</v>
      </c>
      <c r="N92" s="0" t="n">
        <v>744.9</v>
      </c>
      <c r="O92" s="0" t="n">
        <v>748.6</v>
      </c>
      <c r="P92" s="0" t="n">
        <v>753.1</v>
      </c>
      <c r="Q92" s="0" t="n">
        <v>747.7</v>
      </c>
      <c r="R92" s="0" t="n">
        <v>758.2</v>
      </c>
      <c r="S92" s="0" t="n">
        <v>751.2</v>
      </c>
      <c r="T92" s="0" t="n">
        <v>756.9</v>
      </c>
      <c r="U92" s="0" t="n">
        <v>750.9</v>
      </c>
      <c r="V92" s="0" t="n">
        <v>750.2</v>
      </c>
      <c r="W92" s="0" t="n">
        <v>747</v>
      </c>
      <c r="X92" s="6" t="n">
        <f aca="false">AVERAGE(D92:W92)</f>
        <v>750.39</v>
      </c>
      <c r="Y92" s="7" t="n">
        <f aca="false">_xlfn.STDEV.S(D92:W92)</f>
        <v>5.2915921392735</v>
      </c>
      <c r="Z92" s="7" t="n">
        <f aca="false">Y92/X92</f>
        <v>0.00705178925528526</v>
      </c>
    </row>
    <row r="93" customFormat="false" ht="16.75" hidden="false" customHeight="false" outlineLevel="0" collapsed="false">
      <c r="B93" s="4"/>
      <c r="C93" s="5" t="n">
        <v>38</v>
      </c>
      <c r="D93" s="0" t="n">
        <v>762.5</v>
      </c>
      <c r="E93" s="0" t="n">
        <v>760.8</v>
      </c>
      <c r="F93" s="0" t="n">
        <v>758.7</v>
      </c>
      <c r="G93" s="0" t="n">
        <v>755.5</v>
      </c>
      <c r="H93" s="0" t="n">
        <v>759.2</v>
      </c>
      <c r="I93" s="0" t="n">
        <v>752.3</v>
      </c>
      <c r="J93" s="0" t="n">
        <v>753.1</v>
      </c>
      <c r="K93" s="0" t="n">
        <v>752.8</v>
      </c>
      <c r="L93" s="0" t="n">
        <v>757.4</v>
      </c>
      <c r="M93" s="0" t="n">
        <v>766.6</v>
      </c>
      <c r="N93" s="0" t="n">
        <v>758.7</v>
      </c>
      <c r="O93" s="0" t="n">
        <v>752.7</v>
      </c>
      <c r="P93" s="0" t="n">
        <v>760.6</v>
      </c>
      <c r="Q93" s="0" t="n">
        <v>771.1</v>
      </c>
      <c r="R93" s="0" t="n">
        <v>761.1</v>
      </c>
      <c r="S93" s="0" t="n">
        <v>753.4</v>
      </c>
      <c r="T93" s="0" t="n">
        <v>792.5</v>
      </c>
      <c r="U93" s="0" t="n">
        <v>764.3</v>
      </c>
      <c r="V93" s="0" t="n">
        <v>752.7</v>
      </c>
      <c r="W93" s="0" t="n">
        <v>753.9</v>
      </c>
      <c r="X93" s="6" t="n">
        <f aca="false">AVERAGE(D93:W93)</f>
        <v>759.995</v>
      </c>
      <c r="Y93" s="7" t="n">
        <f aca="false">_xlfn.STDEV.S(D93:W93)</f>
        <v>9.25398776061889</v>
      </c>
      <c r="Z93" s="7" t="n">
        <f aca="false">Y93/X93</f>
        <v>0.0121763797927867</v>
      </c>
    </row>
    <row r="94" customFormat="false" ht="16.75" hidden="false" customHeight="false" outlineLevel="0" collapsed="false">
      <c r="B94" s="4" t="n">
        <v>63</v>
      </c>
      <c r="C94" s="5" t="n">
        <v>31</v>
      </c>
      <c r="D94" s="0" t="n">
        <v>749.9</v>
      </c>
      <c r="E94" s="0" t="n">
        <v>681</v>
      </c>
      <c r="F94" s="0" t="n">
        <v>710.3</v>
      </c>
      <c r="G94" s="0" t="n">
        <v>697.8</v>
      </c>
      <c r="H94" s="0" t="n">
        <v>753.3</v>
      </c>
      <c r="I94" s="0" t="n">
        <v>692.3</v>
      </c>
      <c r="J94" s="0" t="n">
        <v>682.4</v>
      </c>
      <c r="K94" s="0" t="n">
        <v>675.7</v>
      </c>
      <c r="L94" s="0" t="n">
        <v>690.9</v>
      </c>
      <c r="M94" s="0" t="n">
        <v>698.5</v>
      </c>
      <c r="N94" s="0" t="n">
        <v>695</v>
      </c>
      <c r="O94" s="0" t="n">
        <v>693.9</v>
      </c>
      <c r="P94" s="0" t="n">
        <v>687.7</v>
      </c>
      <c r="Q94" s="0" t="n">
        <v>693.7</v>
      </c>
      <c r="R94" s="0" t="n">
        <v>696.7</v>
      </c>
      <c r="S94" s="0" t="n">
        <v>691.7</v>
      </c>
      <c r="T94" s="0" t="n">
        <v>734.8</v>
      </c>
      <c r="U94" s="0" t="n">
        <v>683.4</v>
      </c>
      <c r="V94" s="0" t="n">
        <v>689.9</v>
      </c>
      <c r="W94" s="0" t="n">
        <v>691.5</v>
      </c>
      <c r="X94" s="6" t="n">
        <f aca="false">AVERAGE(D94:W94)</f>
        <v>699.52</v>
      </c>
      <c r="Y94" s="7" t="n">
        <f aca="false">_xlfn.STDEV.S(D94:W94)</f>
        <v>21.5658746024459</v>
      </c>
      <c r="Z94" s="7" t="n">
        <f aca="false">Y94/X94</f>
        <v>0.030829532540093</v>
      </c>
    </row>
    <row r="95" customFormat="false" ht="16.75" hidden="false" customHeight="false" outlineLevel="0" collapsed="false">
      <c r="B95" s="4"/>
      <c r="C95" s="5" t="n">
        <v>63</v>
      </c>
      <c r="D95" s="0" t="n">
        <v>721.6</v>
      </c>
      <c r="E95" s="0" t="n">
        <v>723.9</v>
      </c>
      <c r="F95" s="0" t="n">
        <v>722</v>
      </c>
      <c r="G95" s="0" t="n">
        <v>720.1</v>
      </c>
      <c r="H95" s="0" t="n">
        <v>706.5</v>
      </c>
      <c r="I95" s="0" t="n">
        <v>714.7</v>
      </c>
      <c r="J95" s="0" t="n">
        <v>731.6</v>
      </c>
      <c r="K95" s="0" t="n">
        <v>718.6</v>
      </c>
      <c r="L95" s="0" t="n">
        <v>721.2</v>
      </c>
      <c r="M95" s="0" t="n">
        <v>710.9</v>
      </c>
      <c r="N95" s="0" t="n">
        <v>721.2</v>
      </c>
      <c r="O95" s="0" t="n">
        <v>722.7</v>
      </c>
      <c r="P95" s="0" t="n">
        <v>715</v>
      </c>
      <c r="Q95" s="0" t="n">
        <v>724.2</v>
      </c>
      <c r="R95" s="0" t="n">
        <v>712.7</v>
      </c>
      <c r="S95" s="0" t="n">
        <v>719.8</v>
      </c>
      <c r="T95" s="0" t="n">
        <v>708.8</v>
      </c>
      <c r="U95" s="0" t="n">
        <v>720.4</v>
      </c>
      <c r="V95" s="0" t="n">
        <v>746.3</v>
      </c>
      <c r="W95" s="0" t="n">
        <v>723.7</v>
      </c>
      <c r="X95" s="6" t="n">
        <f aca="false">AVERAGE(D95:W95)</f>
        <v>720.295</v>
      </c>
      <c r="Y95" s="7" t="n">
        <f aca="false">_xlfn.STDEV.S(D95:W95)</f>
        <v>8.5434785840306</v>
      </c>
      <c r="Z95" s="7" t="n">
        <f aca="false">Y95/X95</f>
        <v>0.0118610827286467</v>
      </c>
    </row>
    <row r="96" customFormat="false" ht="16.75" hidden="false" customHeight="false" outlineLevel="0" collapsed="false">
      <c r="B96" s="4"/>
      <c r="C96" s="5" t="n">
        <v>93</v>
      </c>
      <c r="D96" s="0" t="n">
        <v>742.6</v>
      </c>
      <c r="E96" s="0" t="n">
        <v>725.1</v>
      </c>
      <c r="F96" s="0" t="n">
        <v>728.3</v>
      </c>
      <c r="G96" s="0" t="n">
        <v>743.5</v>
      </c>
      <c r="H96" s="0" t="n">
        <v>725.9</v>
      </c>
      <c r="I96" s="0" t="n">
        <v>734</v>
      </c>
      <c r="J96" s="0" t="n">
        <v>736.7</v>
      </c>
      <c r="K96" s="0" t="n">
        <v>744.7</v>
      </c>
      <c r="L96" s="0" t="n">
        <v>738.1</v>
      </c>
      <c r="M96" s="0" t="n">
        <v>737.7</v>
      </c>
      <c r="N96" s="0" t="n">
        <v>756.2</v>
      </c>
      <c r="O96" s="0" t="n">
        <v>740.8</v>
      </c>
      <c r="P96" s="0" t="n">
        <v>736.6</v>
      </c>
      <c r="Q96" s="0" t="n">
        <v>734.7</v>
      </c>
      <c r="R96" s="0" t="n">
        <v>748</v>
      </c>
      <c r="S96" s="0" t="n">
        <v>748.3</v>
      </c>
      <c r="T96" s="0" t="n">
        <v>744.9</v>
      </c>
      <c r="U96" s="0" t="n">
        <v>745.5</v>
      </c>
      <c r="V96" s="0" t="n">
        <v>742</v>
      </c>
      <c r="W96" s="0" t="n">
        <v>779.1</v>
      </c>
      <c r="X96" s="6" t="n">
        <f aca="false">AVERAGE(D96:W96)</f>
        <v>741.635</v>
      </c>
      <c r="Y96" s="7" t="n">
        <f aca="false">_xlfn.STDEV.S(D96:W96)</f>
        <v>11.7514288045058</v>
      </c>
      <c r="Z96" s="7" t="n">
        <f aca="false">Y96/X96</f>
        <v>0.0158452996480827</v>
      </c>
    </row>
    <row r="97" customFormat="false" ht="16.75" hidden="false" customHeight="false" outlineLevel="0" collapsed="false">
      <c r="B97" s="4" t="n">
        <v>100</v>
      </c>
      <c r="C97" s="5" t="n">
        <v>25</v>
      </c>
      <c r="D97" s="0" t="n">
        <v>669.9</v>
      </c>
      <c r="E97" s="0" t="n">
        <v>650</v>
      </c>
      <c r="F97" s="0" t="n">
        <v>641.2</v>
      </c>
      <c r="G97" s="0" t="n">
        <v>650.6</v>
      </c>
      <c r="H97" s="0" t="n">
        <v>624.5</v>
      </c>
      <c r="I97" s="0" t="n">
        <v>667.7</v>
      </c>
      <c r="J97" s="0" t="n">
        <v>667.5</v>
      </c>
      <c r="K97" s="0" t="n">
        <v>662.7</v>
      </c>
      <c r="L97" s="0" t="n">
        <v>658</v>
      </c>
      <c r="M97" s="0" t="n">
        <v>662.5</v>
      </c>
      <c r="N97" s="0" t="n">
        <v>653.8</v>
      </c>
      <c r="O97" s="0" t="n">
        <v>667</v>
      </c>
      <c r="P97" s="0" t="n">
        <v>655.8</v>
      </c>
      <c r="Q97" s="0" t="n">
        <v>645.9</v>
      </c>
      <c r="R97" s="0" t="n">
        <v>662</v>
      </c>
      <c r="S97" s="0" t="n">
        <v>663.5</v>
      </c>
      <c r="T97" s="0" t="n">
        <v>642.7</v>
      </c>
      <c r="U97" s="0" t="n">
        <v>652.8</v>
      </c>
      <c r="V97" s="0" t="n">
        <v>657.6</v>
      </c>
      <c r="W97" s="0" t="n">
        <v>624</v>
      </c>
      <c r="X97" s="6" t="n">
        <f aca="false">AVERAGE(D97:W97)</f>
        <v>653.985</v>
      </c>
      <c r="Y97" s="7" t="n">
        <f aca="false">_xlfn.STDEV.S(D97:W97)</f>
        <v>13.1440711068967</v>
      </c>
      <c r="Z97" s="7" t="n">
        <f aca="false">Y97/X97</f>
        <v>0.0200984290265018</v>
      </c>
    </row>
    <row r="98" customFormat="false" ht="16.75" hidden="false" customHeight="false" outlineLevel="0" collapsed="false">
      <c r="B98" s="4"/>
      <c r="C98" s="5" t="n">
        <v>38</v>
      </c>
      <c r="D98" s="0" t="n">
        <v>673.5</v>
      </c>
      <c r="E98" s="0" t="n">
        <v>671.4</v>
      </c>
      <c r="F98" s="0" t="n">
        <v>682.1</v>
      </c>
      <c r="G98" s="0" t="n">
        <v>687.4</v>
      </c>
      <c r="H98" s="0" t="n">
        <v>656.4</v>
      </c>
      <c r="I98" s="0" t="n">
        <v>686.2</v>
      </c>
      <c r="J98" s="0" t="n">
        <v>660.5</v>
      </c>
      <c r="K98" s="0" t="n">
        <v>694.2</v>
      </c>
      <c r="L98" s="0" t="n">
        <v>685.9</v>
      </c>
      <c r="M98" s="0" t="n">
        <v>702.7</v>
      </c>
      <c r="N98" s="0" t="n">
        <v>706.1</v>
      </c>
      <c r="O98" s="0" t="n">
        <v>693.6</v>
      </c>
      <c r="P98" s="0" t="n">
        <v>679.2</v>
      </c>
      <c r="Q98" s="0" t="n">
        <v>696.1</v>
      </c>
      <c r="R98" s="0" t="n">
        <v>714.9</v>
      </c>
      <c r="S98" s="0" t="n">
        <v>694.8</v>
      </c>
      <c r="T98" s="0" t="n">
        <v>681.4</v>
      </c>
      <c r="U98" s="0" t="n">
        <v>688</v>
      </c>
      <c r="V98" s="0" t="n">
        <v>677.2</v>
      </c>
      <c r="W98" s="0" t="n">
        <v>686.8</v>
      </c>
      <c r="X98" s="6" t="n">
        <f aca="false">AVERAGE(D98:W98)</f>
        <v>685.92</v>
      </c>
      <c r="Y98" s="7" t="n">
        <f aca="false">_xlfn.STDEV.S(D98:W98)</f>
        <v>14.2993411699538</v>
      </c>
      <c r="Z98" s="7" t="n">
        <f aca="false">Y98/X98</f>
        <v>0.0208469517873132</v>
      </c>
    </row>
    <row r="99" customFormat="false" ht="16.75" hidden="false" customHeight="false" outlineLevel="0" collapsed="false">
      <c r="B99" s="4"/>
      <c r="C99" s="5" t="n">
        <v>50</v>
      </c>
      <c r="D99" s="0" t="n">
        <v>693</v>
      </c>
      <c r="E99" s="0" t="n">
        <v>682.4</v>
      </c>
      <c r="F99" s="0" t="n">
        <v>697.3</v>
      </c>
      <c r="G99" s="0" t="n">
        <v>695.2</v>
      </c>
      <c r="H99" s="0" t="n">
        <v>715.2</v>
      </c>
      <c r="I99" s="0" t="n">
        <v>718.5</v>
      </c>
      <c r="J99" s="0" t="n">
        <v>679.3</v>
      </c>
      <c r="K99" s="0" t="n">
        <v>684.3</v>
      </c>
      <c r="L99" s="0" t="n">
        <v>699.8</v>
      </c>
      <c r="M99" s="0" t="n">
        <v>697.9</v>
      </c>
      <c r="N99" s="0" t="n">
        <v>703.1</v>
      </c>
      <c r="O99" s="0" t="n">
        <v>681.4</v>
      </c>
      <c r="P99" s="0" t="n">
        <v>699.6</v>
      </c>
      <c r="Q99" s="0" t="n">
        <v>694.3</v>
      </c>
      <c r="R99" s="0" t="n">
        <v>677.6</v>
      </c>
      <c r="S99" s="0" t="n">
        <v>667.5</v>
      </c>
      <c r="T99" s="0" t="n">
        <v>682.6</v>
      </c>
      <c r="U99" s="0" t="n">
        <v>681.5</v>
      </c>
      <c r="V99" s="0" t="n">
        <v>690.3</v>
      </c>
      <c r="W99" s="0" t="n">
        <v>685.7</v>
      </c>
      <c r="X99" s="6" t="n">
        <f aca="false">AVERAGE(D99:W99)</f>
        <v>691.325</v>
      </c>
      <c r="Y99" s="7" t="n">
        <f aca="false">_xlfn.STDEV.S(D99:W99)</f>
        <v>12.6210298603895</v>
      </c>
      <c r="Z99" s="7" t="n">
        <f aca="false">Y99/X99</f>
        <v>0.0182562902547853</v>
      </c>
    </row>
    <row r="100" customFormat="false" ht="16.75" hidden="false" customHeight="false" outlineLevel="0" collapsed="false">
      <c r="B100" s="4"/>
      <c r="C100" s="5" t="n">
        <v>75</v>
      </c>
      <c r="D100" s="0" t="n">
        <v>693.4</v>
      </c>
      <c r="E100" s="0" t="n">
        <v>713.7</v>
      </c>
      <c r="F100" s="0" t="n">
        <v>691.4</v>
      </c>
      <c r="G100" s="0" t="n">
        <v>716.2</v>
      </c>
      <c r="H100" s="0" t="n">
        <v>709.8</v>
      </c>
      <c r="I100" s="0" t="n">
        <v>700.6</v>
      </c>
      <c r="J100" s="0" t="n">
        <v>703.2</v>
      </c>
      <c r="K100" s="0" t="n">
        <v>716.5</v>
      </c>
      <c r="L100" s="0" t="n">
        <v>676.9</v>
      </c>
      <c r="M100" s="0" t="n">
        <v>709.1</v>
      </c>
      <c r="N100" s="0" t="n">
        <v>698.9</v>
      </c>
      <c r="O100" s="0" t="n">
        <v>677.6</v>
      </c>
      <c r="P100" s="0" t="n">
        <v>700.1</v>
      </c>
      <c r="Q100" s="0" t="n">
        <v>689.7</v>
      </c>
      <c r="R100" s="0" t="n">
        <v>724.8</v>
      </c>
      <c r="S100" s="0" t="n">
        <v>696.4</v>
      </c>
      <c r="T100" s="0" t="n">
        <v>699.6</v>
      </c>
      <c r="U100" s="0" t="n">
        <v>697.4</v>
      </c>
      <c r="V100" s="0" t="n">
        <v>712</v>
      </c>
      <c r="W100" s="0" t="n">
        <v>701.5</v>
      </c>
      <c r="X100" s="6" t="n">
        <f aca="false">AVERAGE(D100:W100)</f>
        <v>701.44</v>
      </c>
      <c r="Y100" s="7" t="n">
        <f aca="false">_xlfn.STDEV.S(D100:W100)</f>
        <v>12.3793716361237</v>
      </c>
      <c r="Z100" s="7" t="n">
        <f aca="false">Y100/X100</f>
        <v>0.0176485111144555</v>
      </c>
    </row>
    <row r="101" customFormat="false" ht="16.75" hidden="false" customHeight="false" outlineLevel="0" collapsed="false">
      <c r="B101" s="4"/>
      <c r="C101" s="5" t="n">
        <v>100</v>
      </c>
      <c r="D101" s="0" t="n">
        <v>707.4</v>
      </c>
      <c r="E101" s="0" t="n">
        <v>717.1</v>
      </c>
      <c r="F101" s="0" t="n">
        <v>711.8</v>
      </c>
      <c r="G101" s="0" t="n">
        <v>736</v>
      </c>
      <c r="H101" s="0" t="n">
        <v>711.2</v>
      </c>
      <c r="I101" s="0" t="n">
        <v>705.4</v>
      </c>
      <c r="J101" s="0" t="n">
        <v>725.3</v>
      </c>
      <c r="K101" s="0" t="n">
        <v>701.9</v>
      </c>
      <c r="L101" s="0" t="n">
        <v>693.8</v>
      </c>
      <c r="M101" s="0" t="n">
        <v>717.1</v>
      </c>
      <c r="N101" s="0" t="n">
        <v>712.3</v>
      </c>
      <c r="O101" s="0" t="n">
        <v>711.2</v>
      </c>
      <c r="P101" s="0" t="n">
        <v>697.8</v>
      </c>
      <c r="Q101" s="0" t="n">
        <v>699.7</v>
      </c>
      <c r="R101" s="0" t="n">
        <v>711.2</v>
      </c>
      <c r="S101" s="0" t="n">
        <v>720.4</v>
      </c>
      <c r="T101" s="0" t="n">
        <v>722.3</v>
      </c>
      <c r="U101" s="0" t="n">
        <v>712.3</v>
      </c>
      <c r="V101" s="0" t="n">
        <v>729.9</v>
      </c>
      <c r="W101" s="0" t="n">
        <v>717.4</v>
      </c>
      <c r="X101" s="6" t="n">
        <f aca="false">AVERAGE(D101:W101)</f>
        <v>713.075</v>
      </c>
      <c r="Y101" s="7" t="n">
        <f aca="false">_xlfn.STDEV.S(D101:W101)</f>
        <v>10.6648895175268</v>
      </c>
      <c r="Z101" s="7" t="n">
        <f aca="false">Y101/X101</f>
        <v>0.0149561960768878</v>
      </c>
    </row>
    <row r="102" customFormat="false" ht="16.75" hidden="false" customHeight="false" outlineLevel="0" collapsed="false">
      <c r="B102" s="4"/>
      <c r="C102" s="5" t="n">
        <v>150</v>
      </c>
      <c r="D102" s="0" t="n">
        <v>720.2</v>
      </c>
      <c r="E102" s="0" t="n">
        <v>758.4</v>
      </c>
      <c r="F102" s="0" t="n">
        <v>739.7</v>
      </c>
      <c r="G102" s="0" t="n">
        <v>753.9</v>
      </c>
      <c r="H102" s="0" t="n">
        <v>754.3</v>
      </c>
      <c r="I102" s="0" t="n">
        <v>748.2</v>
      </c>
      <c r="J102" s="0" t="n">
        <v>746.1</v>
      </c>
      <c r="K102" s="0" t="n">
        <v>754.4</v>
      </c>
      <c r="L102" s="0" t="n">
        <v>759.1</v>
      </c>
      <c r="M102" s="0" t="n">
        <v>752.6</v>
      </c>
      <c r="N102" s="0" t="n">
        <v>754.8</v>
      </c>
      <c r="O102" s="0" t="n">
        <v>744.7</v>
      </c>
      <c r="P102" s="0" t="n">
        <v>745</v>
      </c>
      <c r="Q102" s="0" t="n">
        <v>747.9</v>
      </c>
      <c r="R102" s="0" t="n">
        <v>752.5</v>
      </c>
      <c r="S102" s="0" t="n">
        <v>753.6</v>
      </c>
      <c r="T102" s="0" t="n">
        <v>749.7</v>
      </c>
      <c r="U102" s="0" t="n">
        <v>752.9</v>
      </c>
      <c r="V102" s="0" t="n">
        <v>760</v>
      </c>
      <c r="W102" s="0" t="n">
        <v>760.1</v>
      </c>
      <c r="X102" s="6" t="n">
        <f aca="false">AVERAGE(D102:W102)</f>
        <v>750.405</v>
      </c>
      <c r="Y102" s="7" t="n">
        <f aca="false">_xlfn.STDEV.S(D102:W102)</f>
        <v>8.98170508955784</v>
      </c>
      <c r="Z102" s="7" t="n">
        <f aca="false">Y102/X102</f>
        <v>0.0119691434486149</v>
      </c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N36" activeCellId="0" sqref="AN36"/>
    </sheetView>
  </sheetViews>
  <sheetFormatPr defaultColWidth="10.6796875" defaultRowHeight="15" zeroHeight="false" outlineLevelRow="0" outlineLevelCol="0"/>
  <sheetData>
    <row r="1" customFormat="false" ht="15" hidden="false" customHeight="true" outlineLevel="0" collapsed="false">
      <c r="A1" s="14" t="s">
        <v>46</v>
      </c>
      <c r="B1" s="14"/>
      <c r="C1" s="14"/>
    </row>
    <row r="2" customFormat="false" ht="15" hidden="false" customHeight="false" outlineLevel="0" collapsed="false">
      <c r="A2" s="14"/>
      <c r="B2" s="14"/>
      <c r="C2" s="14"/>
    </row>
    <row r="3" customFormat="false" ht="15" hidden="false" customHeight="false" outlineLevel="0" collapsed="false">
      <c r="A3" s="14"/>
      <c r="B3" s="14"/>
      <c r="C3" s="14"/>
    </row>
    <row r="4" customFormat="false" ht="15" hidden="false" customHeight="false" outlineLevel="0" collapsed="false">
      <c r="A4" s="14"/>
      <c r="B4" s="14"/>
      <c r="C4" s="14"/>
    </row>
    <row r="7" customFormat="false" ht="15" hidden="false" customHeight="false" outlineLevel="0" collapsed="false">
      <c r="A7" s="1" t="s">
        <v>47</v>
      </c>
      <c r="B7" s="1"/>
      <c r="C7" s="1"/>
    </row>
    <row r="8" customFormat="false" ht="15" hidden="false" customHeight="false" outlineLevel="0" collapsed="false">
      <c r="A8" s="1"/>
      <c r="B8" s="1"/>
      <c r="C8" s="1"/>
      <c r="D8" s="2" t="s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9.85" hidden="false" customHeight="false" outlineLevel="0" collapsed="false"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</row>
    <row r="12" customFormat="false" ht="16.75" hidden="false" customHeight="false" outlineLevel="0" collapsed="false">
      <c r="B12" s="4" t="n">
        <v>25</v>
      </c>
      <c r="C12" s="5" t="n">
        <v>13</v>
      </c>
      <c r="D12" s="9" t="n">
        <v>213.2</v>
      </c>
      <c r="E12" s="9" t="n">
        <v>242.7</v>
      </c>
      <c r="F12" s="9" t="n">
        <v>263.5</v>
      </c>
      <c r="G12" s="9" t="n">
        <v>257.8</v>
      </c>
      <c r="H12" s="9" t="n">
        <v>250.7</v>
      </c>
      <c r="I12" s="9" t="n">
        <v>260.9</v>
      </c>
      <c r="J12" s="9" t="n">
        <v>249.6</v>
      </c>
      <c r="K12" s="9" t="n">
        <v>281.1</v>
      </c>
      <c r="L12" s="9" t="n">
        <v>262.85</v>
      </c>
      <c r="M12" s="9" t="n">
        <v>268.4</v>
      </c>
      <c r="N12" s="9" t="n">
        <v>217</v>
      </c>
      <c r="O12" s="9" t="n">
        <v>231.833333333333</v>
      </c>
      <c r="P12" s="9" t="n">
        <v>247</v>
      </c>
      <c r="Q12" s="9" t="n">
        <v>256.55</v>
      </c>
      <c r="R12" s="9" t="n">
        <v>234.3</v>
      </c>
      <c r="S12" s="9" t="n">
        <v>259</v>
      </c>
      <c r="T12" s="9" t="n">
        <v>228</v>
      </c>
      <c r="U12" s="9" t="n">
        <v>240.5</v>
      </c>
      <c r="V12" s="9" t="n">
        <v>234.766666666667</v>
      </c>
      <c r="W12" s="9" t="n">
        <v>239.333333333333</v>
      </c>
      <c r="X12" s="6" t="n">
        <f aca="false">AVERAGE(D12:W12)</f>
        <v>246.951666666667</v>
      </c>
      <c r="Y12" s="7" t="n">
        <f aca="false">_xlfn.STDEV.S(D12:W12)</f>
        <v>17.4320157329731</v>
      </c>
      <c r="Z12" s="7" t="n">
        <f aca="false">Y12/X12</f>
        <v>0.0705887753999354</v>
      </c>
    </row>
    <row r="13" customFormat="false" ht="16.75" hidden="false" customHeight="false" outlineLevel="0" collapsed="false">
      <c r="B13" s="4"/>
      <c r="C13" s="5" t="n">
        <v>25</v>
      </c>
      <c r="D13" s="9" t="n">
        <v>326.4</v>
      </c>
      <c r="E13" s="9" t="n">
        <v>316.6</v>
      </c>
      <c r="F13" s="9" t="n">
        <v>282.475</v>
      </c>
      <c r="G13" s="9" t="n">
        <v>352.025</v>
      </c>
      <c r="H13" s="9" t="n">
        <v>330.9</v>
      </c>
      <c r="I13" s="9" t="n">
        <v>306.8</v>
      </c>
      <c r="J13" s="9" t="n">
        <v>285.1</v>
      </c>
      <c r="K13" s="9" t="n">
        <v>322.3</v>
      </c>
      <c r="L13" s="9" t="n">
        <v>312.05</v>
      </c>
      <c r="M13" s="9" t="n">
        <v>332.8</v>
      </c>
      <c r="N13" s="9" t="n">
        <v>325.1</v>
      </c>
      <c r="O13" s="9" t="n">
        <v>319.6</v>
      </c>
      <c r="P13" s="9" t="n">
        <v>320.2</v>
      </c>
      <c r="Q13" s="9" t="n">
        <v>325.7</v>
      </c>
      <c r="R13" s="9" t="n">
        <v>317.9</v>
      </c>
      <c r="S13" s="9" t="n">
        <v>234.8</v>
      </c>
      <c r="T13" s="9" t="n">
        <v>206</v>
      </c>
      <c r="U13" s="9" t="n">
        <v>216</v>
      </c>
      <c r="V13" s="9" t="n">
        <v>241.5</v>
      </c>
      <c r="W13" s="9" t="n">
        <v>334.2</v>
      </c>
      <c r="X13" s="6" t="n">
        <f aca="false">AVERAGE(D13:W13)</f>
        <v>300.4225</v>
      </c>
      <c r="Y13" s="7" t="n">
        <f aca="false">_xlfn.STDEV.S(D13:W13)</f>
        <v>42.3407907249088</v>
      </c>
      <c r="Z13" s="7" t="n">
        <f aca="false">Y13/X13</f>
        <v>0.140937482129031</v>
      </c>
    </row>
    <row r="14" customFormat="false" ht="16.75" hidden="false" customHeight="false" outlineLevel="0" collapsed="false">
      <c r="B14" s="4"/>
      <c r="C14" s="5" t="n">
        <v>38</v>
      </c>
      <c r="D14" s="9" t="n">
        <v>324.5</v>
      </c>
      <c r="E14" s="9" t="n">
        <v>360.2</v>
      </c>
      <c r="F14" s="9" t="n">
        <v>358.7</v>
      </c>
      <c r="G14" s="9" t="n">
        <v>357.4</v>
      </c>
      <c r="H14" s="9" t="n">
        <v>319.4</v>
      </c>
      <c r="I14" s="9" t="n">
        <v>334.233333333333</v>
      </c>
      <c r="J14" s="9" t="n">
        <v>361.75</v>
      </c>
      <c r="K14" s="9" t="n">
        <v>342.85</v>
      </c>
      <c r="L14" s="9" t="n">
        <v>341.2</v>
      </c>
      <c r="M14" s="9" t="n">
        <v>347.7</v>
      </c>
      <c r="N14" s="9" t="n">
        <v>350.3</v>
      </c>
      <c r="O14" s="9" t="n">
        <v>350.9</v>
      </c>
      <c r="P14" s="9" t="n">
        <v>277.9</v>
      </c>
      <c r="Q14" s="9" t="n">
        <v>321.2</v>
      </c>
      <c r="R14" s="9" t="n">
        <v>352.8</v>
      </c>
      <c r="S14" s="9" t="n">
        <v>332.1</v>
      </c>
      <c r="T14" s="9" t="n">
        <v>356</v>
      </c>
      <c r="U14" s="9" t="n">
        <v>348.3</v>
      </c>
      <c r="V14" s="9" t="n">
        <v>328.7</v>
      </c>
      <c r="W14" s="9" t="n">
        <v>357.6</v>
      </c>
      <c r="X14" s="6" t="n">
        <f aca="false">AVERAGE(D14:W14)</f>
        <v>341.186666666667</v>
      </c>
      <c r="Y14" s="7" t="n">
        <f aca="false">_xlfn.STDEV.S(D14:W14)</f>
        <v>20.1251948521314</v>
      </c>
      <c r="Z14" s="7" t="n">
        <f aca="false">Y14/X14</f>
        <v>0.0589858772875008</v>
      </c>
    </row>
    <row r="15" customFormat="false" ht="16.75" hidden="false" customHeight="false" outlineLevel="0" collapsed="false">
      <c r="B15" s="4" t="n">
        <v>63</v>
      </c>
      <c r="C15" s="5" t="n">
        <v>31</v>
      </c>
      <c r="D15" s="9" t="n">
        <v>172.5</v>
      </c>
      <c r="E15" s="9" t="n">
        <v>223.1</v>
      </c>
      <c r="F15" s="9" t="n">
        <v>208.8</v>
      </c>
      <c r="G15" s="9" t="n">
        <v>224.1</v>
      </c>
      <c r="H15" s="9" t="n">
        <v>223.9</v>
      </c>
      <c r="I15" s="9" t="n">
        <v>200.4</v>
      </c>
      <c r="J15" s="9" t="n">
        <v>240.8</v>
      </c>
      <c r="K15" s="9" t="n">
        <v>186.7</v>
      </c>
      <c r="L15" s="9" t="n">
        <v>198.45</v>
      </c>
      <c r="M15" s="9" t="n">
        <v>176.5</v>
      </c>
      <c r="N15" s="9" t="n">
        <v>174</v>
      </c>
      <c r="O15" s="9" t="n">
        <v>273.05</v>
      </c>
      <c r="P15" s="9" t="n">
        <v>210.7</v>
      </c>
      <c r="Q15" s="9" t="n">
        <v>278.15</v>
      </c>
      <c r="R15" s="9" t="n">
        <v>305.3</v>
      </c>
      <c r="S15" s="9" t="n">
        <v>245.8</v>
      </c>
      <c r="T15" s="9" t="n">
        <v>161.8</v>
      </c>
      <c r="U15" s="9" t="n">
        <v>311.05</v>
      </c>
      <c r="V15" s="9" t="n">
        <v>322.5</v>
      </c>
      <c r="W15" s="9" t="n">
        <v>209.9</v>
      </c>
      <c r="X15" s="6" t="n">
        <f aca="false">AVERAGE(D15:W15)</f>
        <v>227.375</v>
      </c>
      <c r="Y15" s="7" t="n">
        <f aca="false">_xlfn.STDEV.S(D15:W15)</f>
        <v>48.255568263373</v>
      </c>
      <c r="Z15" s="7" t="n">
        <f aca="false">Y15/X15</f>
        <v>0.212228997310052</v>
      </c>
    </row>
    <row r="16" customFormat="false" ht="16.75" hidden="false" customHeight="false" outlineLevel="0" collapsed="false">
      <c r="B16" s="4"/>
      <c r="C16" s="5" t="n">
        <v>63</v>
      </c>
      <c r="D16" s="9" t="n">
        <v>242.433333333333</v>
      </c>
      <c r="E16" s="9" t="n">
        <v>317.7</v>
      </c>
      <c r="F16" s="9" t="n">
        <v>226.1</v>
      </c>
      <c r="G16" s="9" t="n">
        <v>209.4</v>
      </c>
      <c r="H16" s="9" t="n">
        <v>237.9</v>
      </c>
      <c r="I16" s="9" t="n">
        <v>285.066666666667</v>
      </c>
      <c r="J16" s="9" t="n">
        <v>237.533333333333</v>
      </c>
      <c r="K16" s="9" t="n">
        <v>235.25</v>
      </c>
      <c r="L16" s="9" t="n">
        <v>252.4</v>
      </c>
      <c r="M16" s="9" t="n">
        <v>170.9</v>
      </c>
      <c r="N16" s="9" t="n">
        <v>293.6</v>
      </c>
      <c r="O16" s="9" t="n">
        <v>247.4</v>
      </c>
      <c r="P16" s="9" t="n">
        <v>223</v>
      </c>
      <c r="Q16" s="9" t="n">
        <v>251.8</v>
      </c>
      <c r="R16" s="9" t="n">
        <v>291.2</v>
      </c>
      <c r="S16" s="9" t="n">
        <v>329.9</v>
      </c>
      <c r="T16" s="9" t="n">
        <v>308.5</v>
      </c>
      <c r="U16" s="9" t="n">
        <v>301.6</v>
      </c>
      <c r="V16" s="9" t="n">
        <v>313.5</v>
      </c>
      <c r="W16" s="9" t="n">
        <v>253</v>
      </c>
      <c r="X16" s="6" t="n">
        <f aca="false">AVERAGE(D16:W16)</f>
        <v>261.409166666667</v>
      </c>
      <c r="Y16" s="7" t="n">
        <f aca="false">_xlfn.STDEV.S(D16:W16)</f>
        <v>41.7485166158019</v>
      </c>
      <c r="Z16" s="7" t="n">
        <f aca="false">Y16/X16</f>
        <v>0.159705633693546</v>
      </c>
    </row>
    <row r="17" customFormat="false" ht="16.75" hidden="false" customHeight="false" outlineLevel="0" collapsed="false">
      <c r="B17" s="4"/>
      <c r="C17" s="5" t="n">
        <v>93</v>
      </c>
      <c r="D17" s="9" t="n">
        <v>291.4</v>
      </c>
      <c r="E17" s="9" t="n">
        <v>256.9</v>
      </c>
      <c r="F17" s="9" t="n">
        <v>243.2</v>
      </c>
      <c r="G17" s="9" t="n">
        <v>275.733333333333</v>
      </c>
      <c r="H17" s="9" t="n">
        <v>297.366666666667</v>
      </c>
      <c r="I17" s="9" t="n">
        <v>291.8</v>
      </c>
      <c r="J17" s="9" t="n">
        <v>317</v>
      </c>
      <c r="K17" s="9" t="n">
        <v>309.8</v>
      </c>
      <c r="L17" s="9" t="n">
        <v>299.266666666667</v>
      </c>
      <c r="M17" s="9" t="n">
        <v>304.6</v>
      </c>
      <c r="N17" s="9" t="n">
        <v>282.8</v>
      </c>
      <c r="O17" s="9" t="n">
        <v>295</v>
      </c>
      <c r="P17" s="9" t="n">
        <v>298.5</v>
      </c>
      <c r="Q17" s="9" t="n">
        <v>305.6</v>
      </c>
      <c r="R17" s="9" t="n">
        <v>281.8</v>
      </c>
      <c r="S17" s="9" t="n">
        <v>316.2</v>
      </c>
      <c r="T17" s="9" t="n">
        <v>283.8</v>
      </c>
      <c r="U17" s="9" t="n">
        <v>297.2</v>
      </c>
      <c r="V17" s="9" t="n">
        <v>223.2</v>
      </c>
      <c r="W17" s="9" t="n">
        <v>307.3</v>
      </c>
      <c r="X17" s="6" t="n">
        <f aca="false">AVERAGE(D17:W17)</f>
        <v>288.923333333333</v>
      </c>
      <c r="Y17" s="7" t="n">
        <f aca="false">_xlfn.STDEV.S(D17:W17)</f>
        <v>23.999651800593</v>
      </c>
      <c r="Z17" s="7" t="n">
        <f aca="false">Y17/X17</f>
        <v>0.0830658137704109</v>
      </c>
    </row>
    <row r="18" customFormat="false" ht="16.75" hidden="false" customHeight="false" outlineLevel="0" collapsed="false">
      <c r="B18" s="4" t="n">
        <v>100</v>
      </c>
      <c r="C18" s="5" t="n">
        <v>25</v>
      </c>
      <c r="D18" s="9" t="n">
        <v>162.2</v>
      </c>
      <c r="E18" s="9" t="n">
        <v>144</v>
      </c>
      <c r="F18" s="9" t="n">
        <v>167.6</v>
      </c>
      <c r="G18" s="9" t="n">
        <v>141.8</v>
      </c>
      <c r="H18" s="9" t="n">
        <v>114.4</v>
      </c>
      <c r="I18" s="9" t="n">
        <v>127.1</v>
      </c>
      <c r="J18" s="9" t="n">
        <v>180.3</v>
      </c>
      <c r="K18" s="9" t="n">
        <v>105</v>
      </c>
      <c r="L18" s="9" t="n">
        <v>130</v>
      </c>
      <c r="M18" s="9" t="n">
        <v>147.5</v>
      </c>
      <c r="N18" s="9" t="n">
        <v>140.5</v>
      </c>
      <c r="O18" s="9" t="n">
        <v>113.8</v>
      </c>
      <c r="P18" s="9" t="n">
        <v>126</v>
      </c>
      <c r="Q18" s="9" t="n">
        <v>147.3</v>
      </c>
      <c r="R18" s="9" t="n">
        <v>155.9</v>
      </c>
      <c r="S18" s="9" t="n">
        <v>117.5</v>
      </c>
      <c r="T18" s="9" t="n">
        <v>104.2</v>
      </c>
      <c r="U18" s="9" t="n">
        <v>132.7</v>
      </c>
      <c r="V18" s="9" t="n">
        <v>173.4</v>
      </c>
      <c r="W18" s="9" t="n">
        <v>112.6</v>
      </c>
      <c r="X18" s="6" t="n">
        <f aca="false">AVERAGE(D18:W18)</f>
        <v>137.19</v>
      </c>
      <c r="Y18" s="7" t="n">
        <f aca="false">_xlfn.STDEV.S(D18:W18)</f>
        <v>22.7565120812761</v>
      </c>
      <c r="Z18" s="7" t="n">
        <f aca="false">Y18/X18</f>
        <v>0.165875880758627</v>
      </c>
    </row>
    <row r="19" customFormat="false" ht="16.75" hidden="false" customHeight="false" outlineLevel="0" collapsed="false">
      <c r="B19" s="4"/>
      <c r="C19" s="5" t="n">
        <v>38</v>
      </c>
      <c r="D19" s="9" t="n">
        <v>169.5</v>
      </c>
      <c r="E19" s="9" t="n">
        <v>126.3</v>
      </c>
      <c r="F19" s="9" t="n">
        <v>220</v>
      </c>
      <c r="G19" s="9" t="n">
        <v>172</v>
      </c>
      <c r="H19" s="9" t="n">
        <v>202.1</v>
      </c>
      <c r="I19" s="9" t="n">
        <v>203.9</v>
      </c>
      <c r="J19" s="9" t="n">
        <v>201.5</v>
      </c>
      <c r="K19" s="9" t="n">
        <v>157.7</v>
      </c>
      <c r="L19" s="9" t="n">
        <v>186.1</v>
      </c>
      <c r="M19" s="9" t="n">
        <v>194.8</v>
      </c>
      <c r="N19" s="9" t="n">
        <v>163.5</v>
      </c>
      <c r="O19" s="9" t="n">
        <v>174.6</v>
      </c>
      <c r="P19" s="9" t="n">
        <v>134.3</v>
      </c>
      <c r="Q19" s="9" t="n">
        <v>201.2</v>
      </c>
      <c r="R19" s="9" t="n">
        <v>181.1</v>
      </c>
      <c r="S19" s="9" t="n">
        <v>159.3</v>
      </c>
      <c r="T19" s="9" t="n">
        <v>147.4</v>
      </c>
      <c r="U19" s="9" t="n">
        <v>110.6</v>
      </c>
      <c r="V19" s="9" t="n">
        <v>207.7</v>
      </c>
      <c r="W19" s="9" t="n">
        <v>172.8</v>
      </c>
      <c r="X19" s="6" t="n">
        <f aca="false">AVERAGE(D19:W19)</f>
        <v>174.32</v>
      </c>
      <c r="Y19" s="7" t="n">
        <f aca="false">_xlfn.STDEV.S(D19:W19)</f>
        <v>29.2497341418417</v>
      </c>
      <c r="Z19" s="7" t="n">
        <f aca="false">Y19/X19</f>
        <v>0.167793334911896</v>
      </c>
    </row>
    <row r="20" customFormat="false" ht="16.75" hidden="false" customHeight="false" outlineLevel="0" collapsed="false">
      <c r="B20" s="4"/>
      <c r="C20" s="5" t="n">
        <v>50</v>
      </c>
      <c r="D20" s="9" t="n">
        <v>241.3</v>
      </c>
      <c r="E20" s="9" t="n">
        <v>216.5</v>
      </c>
      <c r="F20" s="9" t="n">
        <v>220</v>
      </c>
      <c r="G20" s="9" t="n">
        <v>223.1</v>
      </c>
      <c r="H20" s="9" t="n">
        <v>180.6</v>
      </c>
      <c r="I20" s="9" t="n">
        <v>250.4</v>
      </c>
      <c r="J20" s="9" t="n">
        <v>178.9</v>
      </c>
      <c r="K20" s="9" t="n">
        <v>193.3</v>
      </c>
      <c r="L20" s="9" t="n">
        <v>216.5</v>
      </c>
      <c r="M20" s="9" t="n">
        <v>179.2</v>
      </c>
      <c r="N20" s="9" t="n">
        <v>214.3</v>
      </c>
      <c r="O20" s="9" t="n">
        <v>232.9</v>
      </c>
      <c r="P20" s="9" t="n">
        <v>176</v>
      </c>
      <c r="Q20" s="9" t="n">
        <v>187.1</v>
      </c>
      <c r="R20" s="9" t="n">
        <v>148</v>
      </c>
      <c r="S20" s="9" t="n">
        <v>263.2</v>
      </c>
      <c r="T20" s="9" t="n">
        <v>224.8</v>
      </c>
      <c r="U20" s="9" t="n">
        <v>226.8</v>
      </c>
      <c r="V20" s="9" t="n">
        <v>248.8</v>
      </c>
      <c r="W20" s="9" t="n">
        <v>227.1</v>
      </c>
      <c r="X20" s="6" t="n">
        <f aca="false">AVERAGE(D20:W20)</f>
        <v>212.44</v>
      </c>
      <c r="Y20" s="7" t="n">
        <f aca="false">_xlfn.STDEV.S(D20:W20)</f>
        <v>30.0040944574324</v>
      </c>
      <c r="Z20" s="7" t="n">
        <f aca="false">Y20/X20</f>
        <v>0.141235616915046</v>
      </c>
    </row>
    <row r="21" customFormat="false" ht="16.75" hidden="false" customHeight="false" outlineLevel="0" collapsed="false">
      <c r="B21" s="4"/>
      <c r="C21" s="5" t="n">
        <v>75</v>
      </c>
      <c r="D21" s="9" t="n">
        <v>190.6</v>
      </c>
      <c r="E21" s="9" t="n">
        <v>156.4</v>
      </c>
      <c r="F21" s="9" t="n">
        <v>172.1</v>
      </c>
      <c r="G21" s="9" t="n">
        <v>162.1</v>
      </c>
      <c r="H21" s="9" t="n">
        <v>132.3</v>
      </c>
      <c r="I21" s="9" t="n">
        <v>191.2</v>
      </c>
      <c r="J21" s="9" t="n">
        <v>218.4</v>
      </c>
      <c r="K21" s="9" t="n">
        <v>178.9</v>
      </c>
      <c r="L21" s="9" t="n">
        <v>165.6</v>
      </c>
      <c r="M21" s="9" t="n">
        <v>188.2</v>
      </c>
      <c r="N21" s="9" t="n">
        <v>209.5</v>
      </c>
      <c r="O21" s="9" t="n">
        <v>221.7</v>
      </c>
      <c r="P21" s="9" t="n">
        <v>170.2</v>
      </c>
      <c r="Q21" s="9" t="n">
        <v>193.3</v>
      </c>
      <c r="R21" s="9" t="n">
        <v>164.9</v>
      </c>
      <c r="S21" s="9" t="n">
        <v>203.1</v>
      </c>
      <c r="T21" s="9" t="n">
        <v>200.5</v>
      </c>
      <c r="U21" s="9" t="n">
        <v>167.6</v>
      </c>
      <c r="V21" s="9" t="n">
        <v>170.4</v>
      </c>
      <c r="W21" s="9" t="n">
        <v>214.1</v>
      </c>
      <c r="X21" s="6" t="n">
        <f aca="false">AVERAGE(D21:W21)</f>
        <v>183.555</v>
      </c>
      <c r="Y21" s="7" t="n">
        <f aca="false">_xlfn.STDEV.S(D21:W21)</f>
        <v>23.4219302319316</v>
      </c>
      <c r="Z21" s="7" t="n">
        <f aca="false">Y21/X21</f>
        <v>0.127601701026568</v>
      </c>
    </row>
    <row r="22" customFormat="false" ht="16.75" hidden="false" customHeight="false" outlineLevel="0" collapsed="false">
      <c r="B22" s="4"/>
      <c r="C22" s="5" t="n">
        <v>100</v>
      </c>
      <c r="D22" s="9" t="n">
        <v>180.4</v>
      </c>
      <c r="E22" s="9" t="n">
        <v>203.5</v>
      </c>
      <c r="F22" s="9" t="n">
        <v>175.3</v>
      </c>
      <c r="G22" s="9" t="n">
        <v>175.8</v>
      </c>
      <c r="H22" s="9" t="n">
        <v>200.7</v>
      </c>
      <c r="I22" s="9" t="n">
        <v>202.3</v>
      </c>
      <c r="J22" s="9" t="n">
        <v>189.9</v>
      </c>
      <c r="K22" s="9" t="n">
        <v>169.6</v>
      </c>
      <c r="L22" s="9" t="n">
        <v>185.5</v>
      </c>
      <c r="M22" s="9" t="n">
        <v>16.7</v>
      </c>
      <c r="N22" s="9" t="n">
        <v>223</v>
      </c>
      <c r="O22" s="9" t="n">
        <v>172.7</v>
      </c>
      <c r="P22" s="9" t="n">
        <v>204.8</v>
      </c>
      <c r="Q22" s="9" t="n">
        <v>165.2</v>
      </c>
      <c r="R22" s="9" t="n">
        <v>203.1</v>
      </c>
      <c r="S22" s="9" t="n">
        <v>163.1</v>
      </c>
      <c r="T22" s="9" t="n">
        <v>253.9</v>
      </c>
      <c r="U22" s="9" t="n">
        <v>231.9</v>
      </c>
      <c r="V22" s="9" t="n">
        <v>209</v>
      </c>
      <c r="W22" s="9" t="n">
        <v>217</v>
      </c>
      <c r="X22" s="6" t="n">
        <f aca="false">AVERAGE(D22:W22)</f>
        <v>187.17</v>
      </c>
      <c r="Y22" s="7" t="n">
        <f aca="false">_xlfn.STDEV.S(D22:W22)</f>
        <v>46.630384266507</v>
      </c>
      <c r="Z22" s="7" t="n">
        <f aca="false">Y22/X22</f>
        <v>0.249133858345392</v>
      </c>
    </row>
    <row r="23" customFormat="false" ht="16.75" hidden="false" customHeight="false" outlineLevel="0" collapsed="false">
      <c r="B23" s="4"/>
      <c r="C23" s="5" t="n">
        <v>150</v>
      </c>
      <c r="D23" s="9" t="n">
        <v>277.6</v>
      </c>
      <c r="E23" s="9" t="n">
        <v>292.3</v>
      </c>
      <c r="F23" s="9" t="n">
        <v>305.3</v>
      </c>
      <c r="G23" s="9" t="n">
        <v>287.9</v>
      </c>
      <c r="H23" s="9" t="n">
        <v>276.2</v>
      </c>
      <c r="I23" s="9" t="n">
        <v>279.8</v>
      </c>
      <c r="J23" s="9" t="n">
        <v>259.9</v>
      </c>
      <c r="K23" s="9" t="n">
        <v>280.6</v>
      </c>
      <c r="L23" s="9" t="n">
        <v>285.1</v>
      </c>
      <c r="M23" s="9" t="n">
        <v>330</v>
      </c>
      <c r="N23" s="9" t="n">
        <v>290.6</v>
      </c>
      <c r="O23" s="9" t="n">
        <v>277.2</v>
      </c>
      <c r="P23" s="9" t="n">
        <v>309.9</v>
      </c>
      <c r="Q23" s="9" t="n">
        <v>301.1</v>
      </c>
      <c r="R23" s="9" t="n">
        <v>311.5</v>
      </c>
      <c r="S23" s="9" t="n">
        <v>289.4</v>
      </c>
      <c r="T23" s="9" t="n">
        <v>298.4</v>
      </c>
      <c r="U23" s="9" t="n">
        <v>252.6</v>
      </c>
      <c r="V23" s="9" t="n">
        <v>275.2</v>
      </c>
      <c r="W23" s="9" t="n">
        <v>258</v>
      </c>
      <c r="X23" s="6" t="n">
        <f aca="false">AVERAGE(D23:W23)</f>
        <v>286.93</v>
      </c>
      <c r="Y23" s="7" t="n">
        <f aca="false">_xlfn.STDEV.S(D23:W23)</f>
        <v>19.1672719965433</v>
      </c>
      <c r="Z23" s="7" t="n">
        <f aca="false">Y23/X23</f>
        <v>0.0668012128273214</v>
      </c>
    </row>
    <row r="27" customFormat="false" ht="15" hidden="false" customHeight="false" outlineLevel="0" collapsed="false">
      <c r="A27" s="1" t="s">
        <v>47</v>
      </c>
      <c r="B27" s="1"/>
      <c r="C27" s="1"/>
    </row>
    <row r="28" customFormat="false" ht="15" hidden="false" customHeight="false" outlineLevel="0" collapsed="false">
      <c r="A28" s="1"/>
      <c r="B28" s="1"/>
      <c r="C28" s="1"/>
      <c r="D28" s="2" t="s">
        <v>30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9.85" hidden="false" customHeight="false" outlineLevel="0" collapsed="false"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  <c r="H31" s="3" t="s">
        <v>8</v>
      </c>
      <c r="I31" s="3" t="s">
        <v>9</v>
      </c>
      <c r="J31" s="3" t="s">
        <v>10</v>
      </c>
      <c r="K31" s="3" t="s">
        <v>11</v>
      </c>
      <c r="L31" s="3" t="s">
        <v>12</v>
      </c>
      <c r="M31" s="3" t="s">
        <v>13</v>
      </c>
      <c r="N31" s="3" t="s">
        <v>14</v>
      </c>
      <c r="O31" s="3" t="s">
        <v>15</v>
      </c>
      <c r="P31" s="3" t="s">
        <v>16</v>
      </c>
      <c r="Q31" s="3" t="s">
        <v>17</v>
      </c>
      <c r="R31" s="3" t="s">
        <v>18</v>
      </c>
      <c r="S31" s="3" t="s">
        <v>19</v>
      </c>
      <c r="T31" s="3" t="s">
        <v>20</v>
      </c>
      <c r="U31" s="3" t="s">
        <v>21</v>
      </c>
      <c r="V31" s="3" t="s">
        <v>22</v>
      </c>
      <c r="W31" s="3" t="s">
        <v>23</v>
      </c>
      <c r="X31" s="3" t="s">
        <v>24</v>
      </c>
      <c r="Y31" s="3" t="s">
        <v>25</v>
      </c>
      <c r="Z31" s="3" t="s">
        <v>26</v>
      </c>
    </row>
    <row r="32" customFormat="false" ht="16.75" hidden="false" customHeight="false" outlineLevel="0" collapsed="false">
      <c r="B32" s="4" t="n">
        <v>25</v>
      </c>
      <c r="C32" s="5" t="n">
        <v>13</v>
      </c>
      <c r="D32" s="0" t="n">
        <v>321.3</v>
      </c>
      <c r="E32" s="0" t="n">
        <v>247.3</v>
      </c>
      <c r="F32" s="0" t="n">
        <v>303.4</v>
      </c>
      <c r="G32" s="0" t="n">
        <v>213.1</v>
      </c>
      <c r="H32" s="0" t="n">
        <v>341.7</v>
      </c>
      <c r="I32" s="0" t="n">
        <v>322.6</v>
      </c>
      <c r="J32" s="0" t="n">
        <v>270.7</v>
      </c>
      <c r="K32" s="0" t="n">
        <v>279.9</v>
      </c>
      <c r="L32" s="0" t="n">
        <v>293.5</v>
      </c>
      <c r="M32" s="0" t="n">
        <v>246.4</v>
      </c>
      <c r="N32" s="0" t="n">
        <v>282.6</v>
      </c>
      <c r="O32" s="0" t="n">
        <f aca="false">637.6/2</f>
        <v>318.8</v>
      </c>
      <c r="P32" s="0" t="n">
        <f aca="false">866.9/3</f>
        <v>288.966666666667</v>
      </c>
      <c r="Q32" s="0" t="n">
        <v>332.6</v>
      </c>
      <c r="R32" s="0" t="n">
        <v>287.3</v>
      </c>
      <c r="S32" s="0" t="n">
        <v>316.3</v>
      </c>
      <c r="T32" s="0" t="n">
        <v>318.1</v>
      </c>
      <c r="U32" s="0" t="n">
        <v>213.4</v>
      </c>
      <c r="V32" s="0" t="n">
        <f aca="false">695.4/2</f>
        <v>347.7</v>
      </c>
      <c r="W32" s="0" t="n">
        <f aca="false">483.5/2</f>
        <v>241.75</v>
      </c>
      <c r="X32" s="6" t="n">
        <f aca="false">AVERAGE(D32:W32)</f>
        <v>289.370833333333</v>
      </c>
      <c r="Y32" s="7" t="n">
        <f aca="false">_xlfn.STDEV.S(D32:W32)</f>
        <v>40.213328023567</v>
      </c>
      <c r="Z32" s="7" t="n">
        <f aca="false">Y32/X32</f>
        <v>0.138968145339113</v>
      </c>
    </row>
    <row r="33" customFormat="false" ht="16.75" hidden="false" customHeight="false" outlineLevel="0" collapsed="false">
      <c r="B33" s="4"/>
      <c r="C33" s="5" t="n">
        <v>25</v>
      </c>
      <c r="D33" s="0" t="n">
        <v>355.2</v>
      </c>
      <c r="E33" s="0" t="n">
        <v>362.9</v>
      </c>
      <c r="F33" s="0" t="n">
        <v>361.7</v>
      </c>
      <c r="G33" s="0" t="n">
        <v>361.4</v>
      </c>
      <c r="H33" s="0" t="n">
        <v>359.8</v>
      </c>
      <c r="I33" s="0" t="n">
        <v>339.4</v>
      </c>
      <c r="J33" s="0" t="n">
        <v>358.2</v>
      </c>
      <c r="K33" s="0" t="n">
        <v>336.8</v>
      </c>
      <c r="L33" s="0" t="n">
        <v>362</v>
      </c>
      <c r="M33" s="0" t="n">
        <v>362</v>
      </c>
      <c r="N33" s="0" t="n">
        <v>362.3</v>
      </c>
      <c r="O33" s="0" t="n">
        <v>356.4</v>
      </c>
      <c r="P33" s="0" t="n">
        <v>360.9</v>
      </c>
      <c r="Q33" s="0" t="n">
        <v>375.5</v>
      </c>
      <c r="R33" s="0" t="n">
        <v>348.5</v>
      </c>
      <c r="S33" s="0" t="n">
        <v>355.7</v>
      </c>
      <c r="T33" s="0" t="n">
        <f aca="false">1408.7/4</f>
        <v>352.175</v>
      </c>
      <c r="U33" s="0" t="n">
        <v>345.2</v>
      </c>
      <c r="V33" s="0" t="n">
        <f aca="false">1059.1/3</f>
        <v>353.033333333333</v>
      </c>
      <c r="W33" s="0" t="n">
        <v>357.7</v>
      </c>
      <c r="X33" s="6" t="n">
        <f aca="false">AVERAGE(D33:W33)</f>
        <v>356.340416666667</v>
      </c>
      <c r="Y33" s="7" t="n">
        <f aca="false">_xlfn.STDEV.S(D33:W33)</f>
        <v>8.84508208873342</v>
      </c>
      <c r="Z33" s="7" t="n">
        <f aca="false">Y33/X33</f>
        <v>0.0248220007471323</v>
      </c>
    </row>
    <row r="34" customFormat="false" ht="16.75" hidden="false" customHeight="false" outlineLevel="0" collapsed="false">
      <c r="B34" s="4"/>
      <c r="C34" s="5" t="n">
        <v>38</v>
      </c>
      <c r="D34" s="0" t="n">
        <v>367.6</v>
      </c>
      <c r="E34" s="0" t="n">
        <v>363.5</v>
      </c>
      <c r="F34" s="0" t="n">
        <v>367.1</v>
      </c>
      <c r="G34" s="0" t="n">
        <v>374.1</v>
      </c>
      <c r="H34" s="0" t="n">
        <v>366.1</v>
      </c>
      <c r="I34" s="0" t="n">
        <v>375.4</v>
      </c>
      <c r="J34" s="0" t="n">
        <v>369.8</v>
      </c>
      <c r="K34" s="0" t="n">
        <v>374</v>
      </c>
      <c r="L34" s="0" t="n">
        <v>367.2</v>
      </c>
      <c r="M34" s="0" t="n">
        <v>366.4</v>
      </c>
      <c r="N34" s="0" t="n">
        <f aca="false">730.6/2</f>
        <v>365.3</v>
      </c>
      <c r="O34" s="0" t="n">
        <v>367.1</v>
      </c>
      <c r="P34" s="0" t="n">
        <f aca="false">734/2</f>
        <v>367</v>
      </c>
      <c r="Q34" s="0" t="n">
        <f aca="false">732.3/2</f>
        <v>366.15</v>
      </c>
      <c r="R34" s="0" t="n">
        <f aca="false">732.2/2</f>
        <v>366.1</v>
      </c>
      <c r="S34" s="0" t="n">
        <v>364.9</v>
      </c>
      <c r="T34" s="0" t="n">
        <v>363.9</v>
      </c>
      <c r="U34" s="0" t="n">
        <f aca="false">1098.8/3</f>
        <v>366.266666666667</v>
      </c>
      <c r="V34" s="0" t="n">
        <f aca="false">742.4/2</f>
        <v>371.2</v>
      </c>
      <c r="W34" s="0" t="n">
        <v>367.8</v>
      </c>
      <c r="X34" s="6" t="n">
        <f aca="false">AVERAGE(D34:W34)</f>
        <v>367.845833333333</v>
      </c>
      <c r="Y34" s="7" t="n">
        <f aca="false">_xlfn.STDEV.S(D34:W34)</f>
        <v>3.36077683079861</v>
      </c>
      <c r="Z34" s="7" t="n">
        <f aca="false">Y34/X34</f>
        <v>0.00913637324730318</v>
      </c>
    </row>
    <row r="35" customFormat="false" ht="16.75" hidden="false" customHeight="false" outlineLevel="0" collapsed="false">
      <c r="B35" s="4" t="n">
        <v>63</v>
      </c>
      <c r="C35" s="5" t="n">
        <v>31</v>
      </c>
      <c r="D35" s="0" t="n">
        <v>352.2</v>
      </c>
      <c r="E35" s="0" t="n">
        <v>329.2</v>
      </c>
      <c r="F35" s="0" t="n">
        <v>344.9</v>
      </c>
      <c r="G35" s="0" t="n">
        <v>341.4</v>
      </c>
      <c r="H35" s="0" t="n">
        <v>318.8</v>
      </c>
      <c r="I35" s="0" t="n">
        <f aca="false">961.6/3</f>
        <v>320.533333333333</v>
      </c>
      <c r="J35" s="0" t="n">
        <f aca="false">648.7/2</f>
        <v>324.35</v>
      </c>
      <c r="K35" s="0" t="n">
        <f aca="false">647.5/2</f>
        <v>323.75</v>
      </c>
      <c r="L35" s="0" t="n">
        <f aca="false">685.1/2</f>
        <v>342.55</v>
      </c>
      <c r="M35" s="0" t="n">
        <v>334.4</v>
      </c>
      <c r="N35" s="0" t="n">
        <v>341.7</v>
      </c>
      <c r="O35" s="0" t="n">
        <f aca="false">669.3/2</f>
        <v>334.65</v>
      </c>
      <c r="P35" s="0" t="n">
        <f aca="false">671.5/2</f>
        <v>335.75</v>
      </c>
      <c r="Q35" s="0" t="n">
        <v>335.6</v>
      </c>
      <c r="R35" s="0" t="n">
        <f aca="false">641.6/2</f>
        <v>320.8</v>
      </c>
      <c r="S35" s="0" t="n">
        <f aca="false">917/3</f>
        <v>305.666666666667</v>
      </c>
      <c r="T35" s="0" t="n">
        <v>329</v>
      </c>
      <c r="U35" s="0" t="n">
        <v>340.2</v>
      </c>
      <c r="V35" s="0" t="n">
        <v>335.3</v>
      </c>
      <c r="W35" s="0" t="n">
        <v>323.4</v>
      </c>
      <c r="X35" s="6" t="n">
        <f aca="false">AVERAGE(D35:W35)</f>
        <v>331.7075</v>
      </c>
      <c r="Y35" s="7" t="n">
        <f aca="false">_xlfn.STDEV.S(D35:W35)</f>
        <v>11.0654042756524</v>
      </c>
      <c r="Z35" s="7" t="n">
        <f aca="false">Y35/X35</f>
        <v>0.0333589209639588</v>
      </c>
    </row>
    <row r="36" customFormat="false" ht="16.75" hidden="false" customHeight="false" outlineLevel="0" collapsed="false">
      <c r="B36" s="4"/>
      <c r="C36" s="5" t="n">
        <v>63</v>
      </c>
      <c r="D36" s="0" t="n">
        <v>356.8</v>
      </c>
      <c r="E36" s="0" t="n">
        <v>362.2</v>
      </c>
      <c r="F36" s="0" t="n">
        <v>357.9</v>
      </c>
      <c r="G36" s="0" t="n">
        <v>356.1</v>
      </c>
      <c r="H36" s="0" t="n">
        <v>365.3</v>
      </c>
      <c r="I36" s="0" t="n">
        <v>363.5</v>
      </c>
      <c r="J36" s="0" t="n">
        <v>356.7</v>
      </c>
      <c r="K36" s="0" t="n">
        <v>355.4</v>
      </c>
      <c r="L36" s="0" t="n">
        <v>343.1</v>
      </c>
      <c r="M36" s="0" t="n">
        <v>357.4</v>
      </c>
      <c r="N36" s="0" t="n">
        <v>350.1</v>
      </c>
      <c r="O36" s="0" t="n">
        <v>359.4</v>
      </c>
      <c r="P36" s="0" t="n">
        <v>360.2</v>
      </c>
      <c r="Q36" s="0" t="n">
        <v>362.5</v>
      </c>
      <c r="R36" s="0" t="n">
        <v>366.1</v>
      </c>
      <c r="S36" s="0" t="n">
        <v>358.7</v>
      </c>
      <c r="T36" s="0" t="n">
        <v>346</v>
      </c>
      <c r="U36" s="0" t="n">
        <v>349.9</v>
      </c>
      <c r="V36" s="0" t="n">
        <v>361.6</v>
      </c>
      <c r="W36" s="0" t="n">
        <v>353.3</v>
      </c>
      <c r="X36" s="6" t="n">
        <f aca="false">AVERAGE(D36:W36)</f>
        <v>357.11</v>
      </c>
      <c r="Y36" s="7" t="n">
        <f aca="false">_xlfn.STDEV.S(D36:W36)</f>
        <v>6.16201436647397</v>
      </c>
      <c r="Z36" s="7" t="n">
        <f aca="false">Y36/X36</f>
        <v>0.0172552277070762</v>
      </c>
    </row>
    <row r="37" customFormat="false" ht="16.75" hidden="false" customHeight="false" outlineLevel="0" collapsed="false">
      <c r="B37" s="4"/>
      <c r="C37" s="5" t="n">
        <v>93</v>
      </c>
      <c r="D37" s="0" t="n">
        <v>371.1</v>
      </c>
      <c r="E37" s="0" t="n">
        <v>356</v>
      </c>
      <c r="F37" s="0" t="n">
        <v>366.6</v>
      </c>
      <c r="G37" s="0" t="n">
        <v>369.1</v>
      </c>
      <c r="H37" s="0" t="n">
        <v>368.4</v>
      </c>
      <c r="I37" s="0" t="n">
        <v>363.3</v>
      </c>
      <c r="J37" s="0" t="n">
        <v>363.3</v>
      </c>
      <c r="K37" s="0" t="n">
        <v>367.7</v>
      </c>
      <c r="L37" s="0" t="n">
        <v>365.9</v>
      </c>
      <c r="M37" s="0" t="n">
        <f aca="false">736.9/2</f>
        <v>368.45</v>
      </c>
      <c r="N37" s="0" t="n">
        <f aca="false">733/2</f>
        <v>366.5</v>
      </c>
      <c r="O37" s="0" t="n">
        <v>355.1</v>
      </c>
      <c r="P37" s="0" t="n">
        <f aca="false">731/2</f>
        <v>365.5</v>
      </c>
      <c r="Q37" s="0" t="n">
        <f aca="false">1088.4/3</f>
        <v>362.8</v>
      </c>
      <c r="R37" s="0" t="n">
        <v>364.1</v>
      </c>
      <c r="S37" s="0" t="n">
        <f aca="false">735.1/2</f>
        <v>367.55</v>
      </c>
      <c r="T37" s="0" t="n">
        <v>371</v>
      </c>
      <c r="U37" s="0" t="n">
        <v>369.1</v>
      </c>
      <c r="V37" s="0" t="n">
        <f aca="false">727.1/2</f>
        <v>363.55</v>
      </c>
      <c r="W37" s="0" t="n">
        <f aca="false">728.3/2</f>
        <v>364.15</v>
      </c>
      <c r="X37" s="6" t="n">
        <f aca="false">AVERAGE(D37:W37)</f>
        <v>365.46</v>
      </c>
      <c r="Y37" s="7" t="n">
        <f aca="false">_xlfn.STDEV.S(D37:W37)</f>
        <v>4.2239168652106</v>
      </c>
      <c r="Z37" s="7" t="n">
        <f aca="false">Y37/X37</f>
        <v>0.0115578089673578</v>
      </c>
    </row>
    <row r="38" customFormat="false" ht="16.75" hidden="false" customHeight="false" outlineLevel="0" collapsed="false">
      <c r="B38" s="4" t="n">
        <v>100</v>
      </c>
      <c r="C38" s="5" t="n">
        <v>25</v>
      </c>
      <c r="D38" s="0" t="n">
        <v>238.4</v>
      </c>
      <c r="E38" s="0" t="n">
        <v>154.3</v>
      </c>
      <c r="F38" s="0" t="n">
        <v>345.5</v>
      </c>
      <c r="G38" s="0" t="n">
        <v>199.4</v>
      </c>
      <c r="H38" s="0" t="n">
        <v>328</v>
      </c>
      <c r="I38" s="0" t="n">
        <v>174.9</v>
      </c>
      <c r="J38" s="0" t="n">
        <v>305</v>
      </c>
      <c r="K38" s="0" t="n">
        <f aca="false">463.2/2</f>
        <v>231.6</v>
      </c>
      <c r="L38" s="0" t="n">
        <f aca="false">594.5/2</f>
        <v>297.25</v>
      </c>
      <c r="M38" s="0" t="n">
        <v>301.1</v>
      </c>
      <c r="N38" s="0" t="n">
        <f aca="false">418.1/2</f>
        <v>209.05</v>
      </c>
      <c r="O38" s="0" t="n">
        <f aca="false">411/2</f>
        <v>205.5</v>
      </c>
      <c r="P38" s="0" t="n">
        <v>185.7</v>
      </c>
      <c r="Q38" s="0" t="n">
        <f aca="false">542.3/3</f>
        <v>180.766666666667</v>
      </c>
      <c r="R38" s="0" t="n">
        <v>205.8</v>
      </c>
      <c r="S38" s="0" t="n">
        <v>208.6</v>
      </c>
      <c r="T38" s="0" t="n">
        <v>207.2</v>
      </c>
      <c r="U38" s="0" t="n">
        <v>167.8</v>
      </c>
      <c r="V38" s="0" t="n">
        <f aca="false">408.9/2</f>
        <v>204.45</v>
      </c>
      <c r="W38" s="0" t="n">
        <f aca="false">475.3/2</f>
        <v>237.65</v>
      </c>
      <c r="X38" s="6" t="n">
        <f aca="false">AVERAGE(D38:W38)</f>
        <v>229.398333333333</v>
      </c>
      <c r="Y38" s="7" t="n">
        <f aca="false">_xlfn.STDEV.S(D38:W38)</f>
        <v>55.9534256773367</v>
      </c>
      <c r="Z38" s="7" t="n">
        <f aca="false">Y38/X38</f>
        <v>0.243913828249275</v>
      </c>
    </row>
    <row r="39" customFormat="false" ht="16.75" hidden="false" customHeight="false" outlineLevel="0" collapsed="false">
      <c r="B39" s="4"/>
      <c r="C39" s="5" t="n">
        <v>38</v>
      </c>
      <c r="D39" s="0" t="n">
        <v>303.7</v>
      </c>
      <c r="E39" s="0" t="n">
        <v>304.4</v>
      </c>
      <c r="F39" s="0" t="n">
        <v>291.1</v>
      </c>
      <c r="G39" s="0" t="n">
        <v>302.7</v>
      </c>
      <c r="H39" s="0" t="n">
        <v>291.6</v>
      </c>
      <c r="I39" s="0" t="n">
        <v>302.7</v>
      </c>
      <c r="J39" s="0" t="n">
        <v>279.8</v>
      </c>
      <c r="K39" s="0" t="n">
        <v>299.7</v>
      </c>
      <c r="L39" s="0" t="n">
        <v>311.4</v>
      </c>
      <c r="M39" s="0" t="n">
        <v>306.2</v>
      </c>
      <c r="N39" s="0" t="n">
        <v>305.8</v>
      </c>
      <c r="O39" s="0" t="n">
        <f aca="false">596.1/2</f>
        <v>298.05</v>
      </c>
      <c r="P39" s="0" t="n">
        <f aca="false">611.8/2</f>
        <v>305.9</v>
      </c>
      <c r="Q39" s="0" t="n">
        <f aca="false">1467.2/5</f>
        <v>293.44</v>
      </c>
      <c r="R39" s="0" t="n">
        <f aca="false">604.6/2</f>
        <v>302.3</v>
      </c>
      <c r="S39" s="0" t="n">
        <f aca="false">878.7/3</f>
        <v>292.9</v>
      </c>
      <c r="T39" s="0" t="n">
        <v>298.5</v>
      </c>
      <c r="U39" s="0" t="n">
        <v>302.5</v>
      </c>
      <c r="V39" s="0" t="n">
        <v>306.8</v>
      </c>
      <c r="W39" s="0" t="n">
        <f aca="false">572.2/2</f>
        <v>286.1</v>
      </c>
      <c r="X39" s="6" t="n">
        <f aca="false">AVERAGE(D39:W39)</f>
        <v>299.2795</v>
      </c>
      <c r="Y39" s="7" t="n">
        <f aca="false">_xlfn.STDEV.S(D39:W39)</f>
        <v>7.88897863778121</v>
      </c>
      <c r="Z39" s="7" t="n">
        <f aca="false">Y39/X39</f>
        <v>0.0263599031600267</v>
      </c>
    </row>
    <row r="40" customFormat="false" ht="16.75" hidden="false" customHeight="false" outlineLevel="0" collapsed="false">
      <c r="B40" s="4"/>
      <c r="C40" s="5" t="n">
        <v>50</v>
      </c>
      <c r="D40" s="0" t="n">
        <v>302.7</v>
      </c>
      <c r="E40" s="0" t="n">
        <v>298.5</v>
      </c>
      <c r="F40" s="0" t="n">
        <v>281.5</v>
      </c>
      <c r="G40" s="0" t="n">
        <v>280.5</v>
      </c>
      <c r="H40" s="0" t="n">
        <v>302.6</v>
      </c>
      <c r="I40" s="0" t="n">
        <v>297.1</v>
      </c>
      <c r="J40" s="0" t="n">
        <f aca="false">554.5/2</f>
        <v>277.25</v>
      </c>
      <c r="K40" s="0" t="n">
        <f aca="false">896.9/3</f>
        <v>298.966666666667</v>
      </c>
      <c r="L40" s="0" t="n">
        <v>292.8</v>
      </c>
      <c r="M40" s="0" t="n">
        <v>299.3</v>
      </c>
      <c r="N40" s="0" t="n">
        <f aca="false">1085.5/4</f>
        <v>271.375</v>
      </c>
      <c r="O40" s="0" t="n">
        <v>298</v>
      </c>
      <c r="P40" s="0" t="n">
        <v>287.4</v>
      </c>
      <c r="Q40" s="0" t="n">
        <v>210.3</v>
      </c>
      <c r="R40" s="0" t="n">
        <f aca="false">545.7/2</f>
        <v>272.85</v>
      </c>
      <c r="S40" s="0" t="n">
        <v>309.2</v>
      </c>
      <c r="T40" s="0" t="n">
        <v>303.5</v>
      </c>
      <c r="U40" s="0" t="n">
        <v>288.4</v>
      </c>
      <c r="V40" s="0" t="n">
        <f aca="false">608.2/2</f>
        <v>304.1</v>
      </c>
      <c r="W40" s="0" t="n">
        <v>290.3</v>
      </c>
      <c r="X40" s="6" t="n">
        <f aca="false">AVERAGE(D40:W40)</f>
        <v>288.332083333333</v>
      </c>
      <c r="Y40" s="7" t="n">
        <f aca="false">_xlfn.STDEV.S(D40:W40)</f>
        <v>21.4022598609687</v>
      </c>
      <c r="Z40" s="7" t="n">
        <f aca="false">Y40/X40</f>
        <v>0.074227812644166</v>
      </c>
    </row>
    <row r="41" customFormat="false" ht="16.75" hidden="false" customHeight="false" outlineLevel="0" collapsed="false">
      <c r="B41" s="4"/>
      <c r="C41" s="5" t="n">
        <v>75</v>
      </c>
      <c r="D41" s="0" t="n">
        <v>295.6</v>
      </c>
      <c r="E41" s="0" t="n">
        <v>308.7</v>
      </c>
      <c r="F41" s="0" t="n">
        <v>289.3</v>
      </c>
      <c r="G41" s="0" t="n">
        <v>295.3</v>
      </c>
      <c r="H41" s="0" t="n">
        <v>302.7</v>
      </c>
      <c r="I41" s="0" t="n">
        <v>279.1</v>
      </c>
      <c r="J41" s="0" t="n">
        <v>296.8</v>
      </c>
      <c r="K41" s="0" t="n">
        <v>287.1</v>
      </c>
      <c r="L41" s="0" t="n">
        <v>310.3</v>
      </c>
      <c r="M41" s="0" t="n">
        <v>307.3</v>
      </c>
      <c r="N41" s="0" t="n">
        <v>288.1</v>
      </c>
      <c r="O41" s="0" t="n">
        <v>299.7</v>
      </c>
      <c r="P41" s="0" t="n">
        <v>301.1</v>
      </c>
      <c r="Q41" s="0" t="n">
        <v>299.6</v>
      </c>
      <c r="R41" s="0" t="n">
        <v>310.1</v>
      </c>
      <c r="S41" s="0" t="n">
        <v>281.7</v>
      </c>
      <c r="T41" s="0" t="n">
        <v>282.8</v>
      </c>
      <c r="U41" s="0" t="n">
        <f aca="false">893.3/3</f>
        <v>297.766666666667</v>
      </c>
      <c r="V41" s="0" t="n">
        <v>299.3</v>
      </c>
      <c r="W41" s="0" t="n">
        <f aca="false">1513.5/5</f>
        <v>302.7</v>
      </c>
      <c r="X41" s="6" t="n">
        <f aca="false">AVERAGE(D41:W41)</f>
        <v>296.753333333333</v>
      </c>
      <c r="Y41" s="7" t="n">
        <f aca="false">_xlfn.STDEV.S(D41:W41)</f>
        <v>9.42985429615875</v>
      </c>
      <c r="Z41" s="7" t="n">
        <f aca="false">Y41/X41</f>
        <v>0.0317767426240382</v>
      </c>
    </row>
    <row r="42" customFormat="false" ht="16.75" hidden="false" customHeight="false" outlineLevel="0" collapsed="false">
      <c r="B42" s="4"/>
      <c r="C42" s="5" t="n">
        <v>100</v>
      </c>
      <c r="D42" s="0" t="n">
        <v>309.8</v>
      </c>
      <c r="E42" s="0" t="n">
        <v>308.9</v>
      </c>
      <c r="F42" s="0" t="n">
        <v>308</v>
      </c>
      <c r="G42" s="0" t="n">
        <v>313.1</v>
      </c>
      <c r="H42" s="0" t="n">
        <v>293.6</v>
      </c>
      <c r="I42" s="0" t="n">
        <v>306.6</v>
      </c>
      <c r="J42" s="0" t="n">
        <v>282</v>
      </c>
      <c r="K42" s="0" t="n">
        <v>293.6</v>
      </c>
      <c r="L42" s="0" t="n">
        <f aca="false">898.5/3</f>
        <v>299.5</v>
      </c>
      <c r="M42" s="0" t="n">
        <v>293.8</v>
      </c>
      <c r="N42" s="0" t="n">
        <v>323.8</v>
      </c>
      <c r="O42" s="0" t="n">
        <v>296.8</v>
      </c>
      <c r="P42" s="0" t="n">
        <v>301.1</v>
      </c>
      <c r="Q42" s="0" t="n">
        <f aca="false">563.5/2</f>
        <v>281.75</v>
      </c>
      <c r="R42" s="0" t="n">
        <v>287.8</v>
      </c>
      <c r="S42" s="0" t="n">
        <v>303.4</v>
      </c>
      <c r="T42" s="0" t="n">
        <v>281.7</v>
      </c>
      <c r="U42" s="0" t="n">
        <v>304.2</v>
      </c>
      <c r="V42" s="0" t="n">
        <f aca="false">622.4/2</f>
        <v>311.2</v>
      </c>
      <c r="W42" s="0" t="n">
        <v>320.3</v>
      </c>
      <c r="X42" s="6" t="n">
        <f aca="false">AVERAGE(D42:W42)</f>
        <v>301.0475</v>
      </c>
      <c r="Y42" s="7" t="n">
        <f aca="false">_xlfn.STDEV.S(D42:W42)</f>
        <v>12.2227083203442</v>
      </c>
      <c r="Z42" s="7" t="n">
        <f aca="false">Y42/X42</f>
        <v>0.0406005973155205</v>
      </c>
    </row>
    <row r="43" customFormat="false" ht="16.75" hidden="false" customHeight="false" outlineLevel="0" collapsed="false">
      <c r="B43" s="4"/>
      <c r="C43" s="5" t="n">
        <v>150</v>
      </c>
      <c r="D43" s="0" t="n">
        <v>301.4</v>
      </c>
      <c r="E43" s="0" t="n">
        <v>322.8</v>
      </c>
      <c r="F43" s="0" t="n">
        <f aca="false">602.5/2</f>
        <v>301.25</v>
      </c>
      <c r="G43" s="0" t="n">
        <v>264</v>
      </c>
      <c r="H43" s="0" t="n">
        <f aca="false">550.5/2</f>
        <v>275.25</v>
      </c>
      <c r="I43" s="0" t="n">
        <v>323.3</v>
      </c>
      <c r="J43" s="0" t="n">
        <v>326.2</v>
      </c>
      <c r="K43" s="0" t="n">
        <f aca="false">620.9/2</f>
        <v>310.45</v>
      </c>
      <c r="L43" s="0" t="n">
        <v>302.1</v>
      </c>
      <c r="M43" s="0" t="n">
        <f aca="false">581.4/2</f>
        <v>290.7</v>
      </c>
      <c r="N43" s="0" t="n">
        <v>290.6</v>
      </c>
      <c r="O43" s="0" t="n">
        <v>308.6</v>
      </c>
      <c r="P43" s="0" t="n">
        <v>293.4</v>
      </c>
      <c r="Q43" s="0" t="n">
        <f aca="false">659.1/2</f>
        <v>329.55</v>
      </c>
      <c r="R43" s="0" t="n">
        <f aca="false">606.1/2</f>
        <v>303.05</v>
      </c>
      <c r="S43" s="0" t="n">
        <v>308.6</v>
      </c>
      <c r="T43" s="0" t="n">
        <v>285.9</v>
      </c>
      <c r="U43" s="0" t="n">
        <v>320.3</v>
      </c>
      <c r="V43" s="0" t="n">
        <f aca="false">956.9/3</f>
        <v>318.966666666667</v>
      </c>
      <c r="W43" s="0" t="n">
        <v>321.1</v>
      </c>
      <c r="X43" s="6" t="n">
        <f aca="false">AVERAGE(D43:W43)</f>
        <v>304.875833333333</v>
      </c>
      <c r="Y43" s="7" t="n">
        <f aca="false">_xlfn.STDEV.S(D43:W43)</f>
        <v>17.7171815665139</v>
      </c>
      <c r="Z43" s="7" t="n">
        <f aca="false">Y43/X43</f>
        <v>0.058112777824351</v>
      </c>
    </row>
  </sheetData>
  <mergeCells count="11">
    <mergeCell ref="A1:C4"/>
    <mergeCell ref="A7:C9"/>
    <mergeCell ref="D8:Z10"/>
    <mergeCell ref="B12:B14"/>
    <mergeCell ref="B15:B17"/>
    <mergeCell ref="B18:B23"/>
    <mergeCell ref="A27:C29"/>
    <mergeCell ref="D28:Z30"/>
    <mergeCell ref="B32:B34"/>
    <mergeCell ref="B35:B37"/>
    <mergeCell ref="B38:B43"/>
  </mergeCells>
  <conditionalFormatting sqref="D32:W43">
    <cfRule type="cellIs" priority="2" operator="greaterThan" aboveAverage="0" equalAverage="0" bottom="0" percent="0" rank="0" text="" dxfId="0">
      <formula>380</formula>
    </cfRule>
  </conditionalFormatting>
  <conditionalFormatting sqref="D18:D23 F18:W23">
    <cfRule type="cellIs" priority="3" operator="greaterThan" aboveAverage="0" equalAverage="0" bottom="0" percent="0" rank="0" text="" dxfId="1">
      <formula>400</formula>
    </cfRule>
  </conditionalFormatting>
  <conditionalFormatting sqref="D12:W17">
    <cfRule type="cellIs" priority="4" operator="greaterThan" aboveAverage="0" equalAverage="0" bottom="0" percent="0" rank="0" text="" dxfId="2">
      <formula>400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Collabora_Office/24.04.18.3$Linux_X86_64 LibreOffice_project/1c5faab5105dc67d68f2698169bd1f4db49bba47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Lars Wagner</dc:creator>
  <dc:description/>
  <dc:language>en-US</dc:language>
  <cp:lastModifiedBy/>
  <dcterms:modified xsi:type="dcterms:W3CDTF">2026-09-03T20:09:22Z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
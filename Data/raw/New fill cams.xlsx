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eep fill cam" sheetId="1" state="visible" r:id="rId3"/>
    <sheet name="Steep fillcam repeated" sheetId="2" state="visible" r:id="rId4"/>
    <sheet name="Flat fillcam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<sst xmlns="http://schemas.openxmlformats.org/spreadsheetml/2006/main" count="135" uniqueCount="31">
  <si>
    <t xml:space="preserve">Vivapur 102</t>
  </si>
  <si>
    <t xml:space="preserve">Rectangular cranked 10 mm</t>
  </si>
  <si>
    <r>
      <rPr>
        <b val="true"/>
        <sz val="13.5"/>
        <color rgb="FF000000"/>
        <rFont val="Calibri"/>
        <family val="2"/>
        <charset val="1"/>
      </rPr>
      <t xml:space="preserve">n</t>
    </r>
    <r>
      <rPr>
        <b val="true"/>
        <vertAlign val="subscript"/>
        <sz val="13.5"/>
        <color rgb="FF000000"/>
        <rFont val="Calibri"/>
        <family val="2"/>
        <charset val="1"/>
      </rPr>
      <t xml:space="preserve">t</t>
    </r>
    <r>
      <rPr>
        <b val="true"/>
        <sz val="13.5"/>
        <color rgb="FF000000"/>
        <rFont val="Calibri"/>
        <family val="2"/>
        <charset val="1"/>
      </rPr>
      <t xml:space="preserve"> [rpm]</t>
    </r>
  </si>
  <si>
    <r>
      <rPr>
        <b val="true"/>
        <sz val="13.5"/>
        <color rgb="FF000000"/>
        <rFont val="Calibri"/>
        <family val="2"/>
        <charset val="1"/>
      </rPr>
      <t xml:space="preserve">n</t>
    </r>
    <r>
      <rPr>
        <b val="true"/>
        <vertAlign val="subscript"/>
        <sz val="13.5"/>
        <color rgb="FF000000"/>
        <rFont val="Calibri"/>
        <family val="2"/>
        <charset val="1"/>
      </rPr>
      <t xml:space="preserve">p</t>
    </r>
    <r>
      <rPr>
        <b val="true"/>
        <sz val="13.5"/>
        <color rgb="FF000000"/>
        <rFont val="Calibri"/>
        <family val="2"/>
        <charset val="1"/>
      </rPr>
      <t xml:space="preserve"> [rpm]</t>
    </r>
  </si>
  <si>
    <t xml:space="preserve">Tab1 [mg]</t>
  </si>
  <si>
    <t xml:space="preserve">Tab2 [mg]</t>
  </si>
  <si>
    <t xml:space="preserve">Tab3 [mg]</t>
  </si>
  <si>
    <t xml:space="preserve">Tab4 [mg]</t>
  </si>
  <si>
    <t xml:space="preserve">Tab5 [mg]</t>
  </si>
  <si>
    <t xml:space="preserve">Tab6 [mg]</t>
  </si>
  <si>
    <t xml:space="preserve">Tab7 [mg]</t>
  </si>
  <si>
    <t xml:space="preserve">Tab8 [mg]</t>
  </si>
  <si>
    <t xml:space="preserve">Tab9 [mg]</t>
  </si>
  <si>
    <t xml:space="preserve">Tab10 [mg]</t>
  </si>
  <si>
    <t xml:space="preserve">Tab11 [mg]</t>
  </si>
  <si>
    <t xml:space="preserve">Tab12 [mg]</t>
  </si>
  <si>
    <t xml:space="preserve">Tab13 [mg]</t>
  </si>
  <si>
    <t xml:space="preserve">Tab14 [mg]</t>
  </si>
  <si>
    <t xml:space="preserve">Tab15 [mg]</t>
  </si>
  <si>
    <t xml:space="preserve">Tab16 [mg]</t>
  </si>
  <si>
    <t xml:space="preserve">Tab17 [mg]</t>
  </si>
  <si>
    <t xml:space="preserve">Tab18 [mg]</t>
  </si>
  <si>
    <t xml:space="preserve">Tab19 [mg]</t>
  </si>
  <si>
    <t xml:space="preserve">Tab20 [mg]</t>
  </si>
  <si>
    <t xml:space="preserve">Mean [mg]</t>
  </si>
  <si>
    <t xml:space="preserve">Std [mg]</t>
  </si>
  <si>
    <t xml:space="preserve">rel. Std [mg]</t>
  </si>
  <si>
    <t xml:space="preserve">Spider geometry</t>
  </si>
  <si>
    <t xml:space="preserve">Rectangular cranked 10 mm (Füllrad 1)</t>
  </si>
  <si>
    <t xml:space="preserve">rel, Std [mg]</t>
  </si>
  <si>
    <t xml:space="preserve">Spider geometry (Füllrad 6)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</si>
</sst>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  <font>
      <b val="true"/>
      <sz val="13.5"/>
      <color rgb="FF000000"/>
      <name val="Calibri"/>
      <family val="2"/>
      <charset val="1"/>
    </font>
    <font>
      <b val="true"/>
      <vertAlign val="subscript"/>
      <sz val="13.5"/>
      <color rgb="FF000000"/>
      <name val="Calibri"/>
      <family val="2"/>
      <charset val="1"/>
    </font>
    <font>
      <sz val="13.5"/>
      <color theme="1"/>
      <name val="Calibri"/>
      <family val="2"/>
      <charset val="1"/>
    </font>
    <font>
      <sz val="13.5"/>
      <color rgb="FF000000"/>
      <name val="Calibri"/>
      <family val="2"/>
      <charset val="1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1"/>
      <c r="B2" s="1"/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9.8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26</v>
      </c>
    </row>
    <row r="6" customFormat="false" ht="16.75" hidden="false" customHeight="false" outlineLevel="0" collapsed="false">
      <c r="B6" s="4" t="n">
        <v>25</v>
      </c>
      <c r="C6" s="5" t="n">
        <v>13</v>
      </c>
      <c r="D6" s="6" t="n">
        <v>213.2</v>
      </c>
      <c r="E6" s="6" t="n">
        <v>242.7</v>
      </c>
      <c r="F6" s="6" t="n">
        <v>263.5</v>
      </c>
      <c r="G6" s="6" t="n">
        <v>257.8</v>
      </c>
      <c r="H6" s="6" t="n">
        <v>250.7</v>
      </c>
      <c r="I6" s="6" t="n">
        <v>260.9</v>
      </c>
      <c r="J6" s="6" t="n">
        <v>249.6</v>
      </c>
      <c r="K6" s="6" t="n">
        <v>281.1</v>
      </c>
      <c r="L6" s="6" t="n">
        <v>262.85</v>
      </c>
      <c r="M6" s="6" t="n">
        <v>268.4</v>
      </c>
      <c r="N6" s="6" t="n">
        <v>217</v>
      </c>
      <c r="O6" s="6" t="n">
        <v>231.833333333333</v>
      </c>
      <c r="P6" s="6" t="n">
        <v>247</v>
      </c>
      <c r="Q6" s="6" t="n">
        <v>256.55</v>
      </c>
      <c r="R6" s="6" t="n">
        <v>234.3</v>
      </c>
      <c r="S6" s="6" t="n">
        <v>259</v>
      </c>
      <c r="T6" s="6" t="n">
        <v>228</v>
      </c>
      <c r="U6" s="6" t="n">
        <v>240.5</v>
      </c>
      <c r="V6" s="6" t="n">
        <v>234.766666666667</v>
      </c>
      <c r="W6" s="6" t="n">
        <v>239.333333333333</v>
      </c>
      <c r="X6" s="7" t="n">
        <f aca="false">AVERAGE(D6:W6)</f>
        <v>246.951666666667</v>
      </c>
      <c r="Y6" s="8" t="n">
        <f aca="false">_xlfn.STDEV.S(D6:W6)</f>
        <v>17.4320157329731</v>
      </c>
      <c r="Z6" s="8" t="n">
        <f aca="false">Y6/X6</f>
        <v>0.0705887753999354</v>
      </c>
    </row>
    <row r="7" customFormat="false" ht="16.75" hidden="false" customHeight="false" outlineLevel="0" collapsed="false">
      <c r="B7" s="4"/>
      <c r="C7" s="5" t="n">
        <v>25</v>
      </c>
      <c r="D7" s="6" t="n">
        <v>326.4</v>
      </c>
      <c r="E7" s="6" t="n">
        <v>316.6</v>
      </c>
      <c r="F7" s="6" t="n">
        <v>282.475</v>
      </c>
      <c r="G7" s="6" t="n">
        <v>352.025</v>
      </c>
      <c r="H7" s="6" t="n">
        <v>330.9</v>
      </c>
      <c r="I7" s="6" t="n">
        <v>306.8</v>
      </c>
      <c r="J7" s="6" t="n">
        <v>285.1</v>
      </c>
      <c r="K7" s="6" t="n">
        <v>322.3</v>
      </c>
      <c r="L7" s="6" t="n">
        <v>312.05</v>
      </c>
      <c r="M7" s="6" t="n">
        <v>332.8</v>
      </c>
      <c r="N7" s="6" t="n">
        <v>325.1</v>
      </c>
      <c r="O7" s="6" t="n">
        <v>319.6</v>
      </c>
      <c r="P7" s="6" t="n">
        <v>320.2</v>
      </c>
      <c r="Q7" s="6" t="n">
        <v>325.7</v>
      </c>
      <c r="R7" s="6" t="n">
        <v>317.9</v>
      </c>
      <c r="S7" s="6" t="n">
        <v>234.8</v>
      </c>
      <c r="T7" s="6" t="n">
        <v>206</v>
      </c>
      <c r="U7" s="6" t="n">
        <v>216</v>
      </c>
      <c r="V7" s="6" t="n">
        <v>241.5</v>
      </c>
      <c r="W7" s="6" t="n">
        <v>334.2</v>
      </c>
      <c r="X7" s="7" t="n">
        <f aca="false">AVERAGE(D7:W7)</f>
        <v>300.4225</v>
      </c>
      <c r="Y7" s="8" t="n">
        <f aca="false">_xlfn.STDEV.S(D7:W7)</f>
        <v>42.3407907249088</v>
      </c>
      <c r="Z7" s="8" t="n">
        <f aca="false">Y7/X7</f>
        <v>0.140937482129031</v>
      </c>
    </row>
    <row r="8" customFormat="false" ht="16.75" hidden="false" customHeight="false" outlineLevel="0" collapsed="false">
      <c r="B8" s="4"/>
      <c r="C8" s="5" t="n">
        <v>38</v>
      </c>
      <c r="D8" s="6" t="n">
        <v>324.5</v>
      </c>
      <c r="E8" s="6" t="n">
        <v>360.2</v>
      </c>
      <c r="F8" s="6" t="n">
        <v>358.7</v>
      </c>
      <c r="G8" s="6" t="n">
        <v>357.4</v>
      </c>
      <c r="H8" s="6" t="n">
        <v>319.4</v>
      </c>
      <c r="I8" s="6" t="n">
        <v>334.233333333333</v>
      </c>
      <c r="J8" s="6" t="n">
        <v>361.75</v>
      </c>
      <c r="K8" s="6" t="n">
        <v>342.85</v>
      </c>
      <c r="L8" s="6" t="n">
        <v>341.2</v>
      </c>
      <c r="M8" s="6" t="n">
        <v>347.7</v>
      </c>
      <c r="N8" s="6" t="n">
        <v>350.3</v>
      </c>
      <c r="O8" s="6" t="n">
        <v>350.9</v>
      </c>
      <c r="P8" s="6" t="n">
        <v>277.9</v>
      </c>
      <c r="Q8" s="6" t="n">
        <v>321.2</v>
      </c>
      <c r="R8" s="6" t="n">
        <v>352.8</v>
      </c>
      <c r="S8" s="6" t="n">
        <v>332.1</v>
      </c>
      <c r="T8" s="6" t="n">
        <v>356</v>
      </c>
      <c r="U8" s="6" t="n">
        <v>348.3</v>
      </c>
      <c r="V8" s="6" t="n">
        <v>328.7</v>
      </c>
      <c r="W8" s="6" t="n">
        <v>357.6</v>
      </c>
      <c r="X8" s="7" t="n">
        <f aca="false">AVERAGE(D8:W8)</f>
        <v>341.186666666667</v>
      </c>
      <c r="Y8" s="8" t="n">
        <f aca="false">_xlfn.STDEV.S(D8:W8)</f>
        <v>20.1251948521314</v>
      </c>
      <c r="Z8" s="8" t="n">
        <f aca="false">Y8/X8</f>
        <v>0.0589858772875008</v>
      </c>
    </row>
    <row r="9" customFormat="false" ht="16.75" hidden="false" customHeight="false" outlineLevel="0" collapsed="false">
      <c r="B9" s="4" t="n">
        <v>63</v>
      </c>
      <c r="C9" s="5" t="n">
        <v>31</v>
      </c>
      <c r="D9" s="6" t="n">
        <v>172.5</v>
      </c>
      <c r="E9" s="6" t="n">
        <v>223.1</v>
      </c>
      <c r="F9" s="6" t="n">
        <v>208.8</v>
      </c>
      <c r="G9" s="6" t="n">
        <v>224.1</v>
      </c>
      <c r="H9" s="6" t="n">
        <v>223.9</v>
      </c>
      <c r="I9" s="6" t="n">
        <v>200.4</v>
      </c>
      <c r="J9" s="6" t="n">
        <v>240.8</v>
      </c>
      <c r="K9" s="6" t="n">
        <v>186.7</v>
      </c>
      <c r="L9" s="6" t="n">
        <v>198.45</v>
      </c>
      <c r="M9" s="6" t="n">
        <v>176.5</v>
      </c>
      <c r="N9" s="6" t="n">
        <v>174</v>
      </c>
      <c r="O9" s="6" t="n">
        <v>273.05</v>
      </c>
      <c r="P9" s="6" t="n">
        <v>210.7</v>
      </c>
      <c r="Q9" s="6" t="n">
        <v>278.15</v>
      </c>
      <c r="R9" s="6" t="n">
        <v>305.3</v>
      </c>
      <c r="S9" s="6" t="n">
        <v>245.8</v>
      </c>
      <c r="T9" s="6" t="n">
        <v>161.8</v>
      </c>
      <c r="U9" s="6" t="n">
        <v>311.05</v>
      </c>
      <c r="V9" s="6" t="n">
        <v>322.5</v>
      </c>
      <c r="W9" s="6" t="n">
        <v>209.9</v>
      </c>
      <c r="X9" s="7" t="n">
        <f aca="false">AVERAGE(D9:W9)</f>
        <v>227.375</v>
      </c>
      <c r="Y9" s="8" t="n">
        <f aca="false">_xlfn.STDEV.S(D9:W9)</f>
        <v>48.255568263373</v>
      </c>
      <c r="Z9" s="8" t="n">
        <f aca="false">Y9/X9</f>
        <v>0.212228997310052</v>
      </c>
    </row>
    <row r="10" customFormat="false" ht="16.75" hidden="false" customHeight="false" outlineLevel="0" collapsed="false">
      <c r="B10" s="4"/>
      <c r="C10" s="5" t="n">
        <v>63</v>
      </c>
      <c r="D10" s="6" t="n">
        <v>242.433333333333</v>
      </c>
      <c r="E10" s="6" t="n">
        <v>317.7</v>
      </c>
      <c r="F10" s="6" t="n">
        <v>226.1</v>
      </c>
      <c r="G10" s="6" t="n">
        <v>209.4</v>
      </c>
      <c r="H10" s="6" t="n">
        <v>237.9</v>
      </c>
      <c r="I10" s="6" t="n">
        <v>285.066666666667</v>
      </c>
      <c r="J10" s="6" t="n">
        <v>237.533333333333</v>
      </c>
      <c r="K10" s="6" t="n">
        <v>235.25</v>
      </c>
      <c r="L10" s="6" t="n">
        <v>252.4</v>
      </c>
      <c r="M10" s="6" t="n">
        <v>170.9</v>
      </c>
      <c r="N10" s="6" t="n">
        <v>293.6</v>
      </c>
      <c r="O10" s="6" t="n">
        <v>247.4</v>
      </c>
      <c r="P10" s="6" t="n">
        <v>223</v>
      </c>
      <c r="Q10" s="6" t="n">
        <v>251.8</v>
      </c>
      <c r="R10" s="6" t="n">
        <v>291.2</v>
      </c>
      <c r="S10" s="6" t="n">
        <v>329.9</v>
      </c>
      <c r="T10" s="6" t="n">
        <v>308.5</v>
      </c>
      <c r="U10" s="6" t="n">
        <v>301.6</v>
      </c>
      <c r="V10" s="6" t="n">
        <v>313.5</v>
      </c>
      <c r="W10" s="6" t="n">
        <v>253</v>
      </c>
      <c r="X10" s="7" t="n">
        <f aca="false">AVERAGE(D10:W10)</f>
        <v>261.409166666667</v>
      </c>
      <c r="Y10" s="8" t="n">
        <f aca="false">_xlfn.STDEV.S(D10:W10)</f>
        <v>41.7485166158019</v>
      </c>
      <c r="Z10" s="8" t="n">
        <f aca="false">Y10/X10</f>
        <v>0.159705633693546</v>
      </c>
    </row>
    <row r="11" customFormat="false" ht="16.75" hidden="false" customHeight="false" outlineLevel="0" collapsed="false">
      <c r="B11" s="4"/>
      <c r="C11" s="5" t="n">
        <v>93</v>
      </c>
      <c r="D11" s="6" t="n">
        <v>291.4</v>
      </c>
      <c r="E11" s="6" t="n">
        <v>256.9</v>
      </c>
      <c r="F11" s="6" t="n">
        <v>243.2</v>
      </c>
      <c r="G11" s="6" t="n">
        <v>275.733333333333</v>
      </c>
      <c r="H11" s="6" t="n">
        <v>297.366666666667</v>
      </c>
      <c r="I11" s="6" t="n">
        <v>291.8</v>
      </c>
      <c r="J11" s="6" t="n">
        <v>317</v>
      </c>
      <c r="K11" s="6" t="n">
        <v>309.8</v>
      </c>
      <c r="L11" s="6" t="n">
        <v>299.266666666667</v>
      </c>
      <c r="M11" s="6" t="n">
        <v>304.6</v>
      </c>
      <c r="N11" s="6" t="n">
        <v>282.8</v>
      </c>
      <c r="O11" s="6" t="n">
        <v>295</v>
      </c>
      <c r="P11" s="6" t="n">
        <v>298.5</v>
      </c>
      <c r="Q11" s="6" t="n">
        <v>305.6</v>
      </c>
      <c r="R11" s="6" t="n">
        <v>281.8</v>
      </c>
      <c r="S11" s="6" t="n">
        <v>316.2</v>
      </c>
      <c r="T11" s="6" t="n">
        <v>283.8</v>
      </c>
      <c r="U11" s="6" t="n">
        <v>297.2</v>
      </c>
      <c r="V11" s="6" t="n">
        <v>223.2</v>
      </c>
      <c r="W11" s="6" t="n">
        <v>307.3</v>
      </c>
      <c r="X11" s="7" t="n">
        <f aca="false">AVERAGE(D11:W11)</f>
        <v>288.923333333333</v>
      </c>
      <c r="Y11" s="8" t="n">
        <f aca="false">_xlfn.STDEV.S(D11:W11)</f>
        <v>23.999651800593</v>
      </c>
      <c r="Z11" s="8" t="n">
        <f aca="false">Y11/X11</f>
        <v>0.0830658137704109</v>
      </c>
    </row>
    <row r="12" customFormat="false" ht="16.75" hidden="false" customHeight="false" outlineLevel="0" collapsed="false">
      <c r="B12" s="4" t="n">
        <v>100</v>
      </c>
      <c r="C12" s="5" t="n">
        <v>25</v>
      </c>
      <c r="D12" s="6" t="n">
        <v>162.2</v>
      </c>
      <c r="E12" s="6" t="n">
        <v>144</v>
      </c>
      <c r="F12" s="6" t="n">
        <v>167.6</v>
      </c>
      <c r="G12" s="6" t="n">
        <v>141.8</v>
      </c>
      <c r="H12" s="6" t="n">
        <v>114.4</v>
      </c>
      <c r="I12" s="6" t="n">
        <v>127.1</v>
      </c>
      <c r="J12" s="6" t="n">
        <v>180.3</v>
      </c>
      <c r="K12" s="6" t="n">
        <v>105</v>
      </c>
      <c r="L12" s="6" t="n">
        <v>130</v>
      </c>
      <c r="M12" s="6" t="n">
        <v>147.5</v>
      </c>
      <c r="N12" s="6" t="n">
        <v>140.5</v>
      </c>
      <c r="O12" s="6" t="n">
        <v>113.8</v>
      </c>
      <c r="P12" s="6" t="n">
        <v>126</v>
      </c>
      <c r="Q12" s="6" t="n">
        <v>147.3</v>
      </c>
      <c r="R12" s="6" t="n">
        <v>155.9</v>
      </c>
      <c r="S12" s="6" t="n">
        <v>117.5</v>
      </c>
      <c r="T12" s="6" t="n">
        <v>104.2</v>
      </c>
      <c r="U12" s="6" t="n">
        <v>132.7</v>
      </c>
      <c r="V12" s="6" t="n">
        <v>173.4</v>
      </c>
      <c r="W12" s="6" t="n">
        <v>112.6</v>
      </c>
      <c r="X12" s="7" t="n">
        <f aca="false">AVERAGE(D12:W12)</f>
        <v>137.19</v>
      </c>
      <c r="Y12" s="8" t="n">
        <f aca="false">_xlfn.STDEV.S(D12:W12)</f>
        <v>22.7565120812761</v>
      </c>
      <c r="Z12" s="8" t="n">
        <f aca="false">Y12/X12</f>
        <v>0.165875880758627</v>
      </c>
    </row>
    <row r="13" customFormat="false" ht="16.75" hidden="false" customHeight="false" outlineLevel="0" collapsed="false">
      <c r="B13" s="4"/>
      <c r="C13" s="5" t="n">
        <v>38</v>
      </c>
      <c r="D13" s="6" t="n">
        <v>169.5</v>
      </c>
      <c r="E13" s="6" t="n">
        <v>126.3</v>
      </c>
      <c r="F13" s="6" t="n">
        <v>220</v>
      </c>
      <c r="G13" s="6" t="n">
        <v>172</v>
      </c>
      <c r="H13" s="6" t="n">
        <v>202.1</v>
      </c>
      <c r="I13" s="6" t="n">
        <v>203.9</v>
      </c>
      <c r="J13" s="6" t="n">
        <v>201.5</v>
      </c>
      <c r="K13" s="6" t="n">
        <v>157.7</v>
      </c>
      <c r="L13" s="6" t="n">
        <v>186.1</v>
      </c>
      <c r="M13" s="6" t="n">
        <v>194.8</v>
      </c>
      <c r="N13" s="6" t="n">
        <v>163.5</v>
      </c>
      <c r="O13" s="6" t="n">
        <v>174.6</v>
      </c>
      <c r="P13" s="6" t="n">
        <v>134.3</v>
      </c>
      <c r="Q13" s="6" t="n">
        <v>201.2</v>
      </c>
      <c r="R13" s="6" t="n">
        <v>181.1</v>
      </c>
      <c r="S13" s="6" t="n">
        <v>159.3</v>
      </c>
      <c r="T13" s="6" t="n">
        <v>147.4</v>
      </c>
      <c r="U13" s="6" t="n">
        <v>110.6</v>
      </c>
      <c r="V13" s="6" t="n">
        <v>207.7</v>
      </c>
      <c r="W13" s="6" t="n">
        <v>172.8</v>
      </c>
      <c r="X13" s="7" t="n">
        <f aca="false">AVERAGE(D13:W13)</f>
        <v>174.32</v>
      </c>
      <c r="Y13" s="8" t="n">
        <f aca="false">_xlfn.STDEV.S(D13:W13)</f>
        <v>29.2497341418417</v>
      </c>
      <c r="Z13" s="8" t="n">
        <f aca="false">Y13/X13</f>
        <v>0.167793334911896</v>
      </c>
    </row>
    <row r="14" customFormat="false" ht="16.75" hidden="false" customHeight="false" outlineLevel="0" collapsed="false">
      <c r="B14" s="4"/>
      <c r="C14" s="5" t="n">
        <v>50</v>
      </c>
      <c r="D14" s="6" t="n">
        <v>241.3</v>
      </c>
      <c r="E14" s="6" t="n">
        <v>216.5</v>
      </c>
      <c r="F14" s="6" t="n">
        <v>220</v>
      </c>
      <c r="G14" s="6" t="n">
        <v>223.1</v>
      </c>
      <c r="H14" s="6" t="n">
        <v>180.6</v>
      </c>
      <c r="I14" s="6" t="n">
        <v>250.4</v>
      </c>
      <c r="J14" s="6" t="n">
        <v>178.9</v>
      </c>
      <c r="K14" s="6" t="n">
        <v>193.3</v>
      </c>
      <c r="L14" s="6" t="n">
        <v>216.5</v>
      </c>
      <c r="M14" s="6" t="n">
        <v>179.2</v>
      </c>
      <c r="N14" s="6" t="n">
        <v>214.3</v>
      </c>
      <c r="O14" s="6" t="n">
        <v>232.9</v>
      </c>
      <c r="P14" s="6" t="n">
        <v>176</v>
      </c>
      <c r="Q14" s="6" t="n">
        <v>187.1</v>
      </c>
      <c r="R14" s="6" t="n">
        <v>148</v>
      </c>
      <c r="S14" s="6" t="n">
        <v>263.2</v>
      </c>
      <c r="T14" s="6" t="n">
        <v>224.8</v>
      </c>
      <c r="U14" s="6" t="n">
        <v>226.8</v>
      </c>
      <c r="V14" s="6" t="n">
        <v>248.8</v>
      </c>
      <c r="W14" s="6" t="n">
        <v>227.1</v>
      </c>
      <c r="X14" s="7" t="n">
        <f aca="false">AVERAGE(D14:W14)</f>
        <v>212.44</v>
      </c>
      <c r="Y14" s="8" t="n">
        <f aca="false">_xlfn.STDEV.S(D14:W14)</f>
        <v>30.0040944574324</v>
      </c>
      <c r="Z14" s="8" t="n">
        <f aca="false">Y14/X14</f>
        <v>0.141235616915046</v>
      </c>
    </row>
    <row r="15" customFormat="false" ht="16.75" hidden="false" customHeight="false" outlineLevel="0" collapsed="false">
      <c r="B15" s="4"/>
      <c r="C15" s="5" t="n">
        <v>75</v>
      </c>
      <c r="D15" s="6" t="n">
        <v>190.6</v>
      </c>
      <c r="E15" s="6" t="n">
        <v>156.4</v>
      </c>
      <c r="F15" s="6" t="n">
        <v>172.1</v>
      </c>
      <c r="G15" s="6" t="n">
        <v>162.1</v>
      </c>
      <c r="H15" s="6" t="n">
        <v>132.3</v>
      </c>
      <c r="I15" s="6" t="n">
        <v>191.2</v>
      </c>
      <c r="J15" s="6" t="n">
        <v>218.4</v>
      </c>
      <c r="K15" s="6" t="n">
        <v>178.9</v>
      </c>
      <c r="L15" s="6" t="n">
        <v>165.6</v>
      </c>
      <c r="M15" s="6" t="n">
        <v>188.2</v>
      </c>
      <c r="N15" s="6" t="n">
        <v>209.5</v>
      </c>
      <c r="O15" s="6" t="n">
        <v>221.7</v>
      </c>
      <c r="P15" s="6" t="n">
        <v>170.2</v>
      </c>
      <c r="Q15" s="6" t="n">
        <v>193.3</v>
      </c>
      <c r="R15" s="6" t="n">
        <v>164.9</v>
      </c>
      <c r="S15" s="6" t="n">
        <v>203.1</v>
      </c>
      <c r="T15" s="6" t="n">
        <v>200.5</v>
      </c>
      <c r="U15" s="6" t="n">
        <v>167.6</v>
      </c>
      <c r="V15" s="6" t="n">
        <v>170.4</v>
      </c>
      <c r="W15" s="6" t="n">
        <v>214.1</v>
      </c>
      <c r="X15" s="7" t="n">
        <f aca="false">AVERAGE(D15:W15)</f>
        <v>183.555</v>
      </c>
      <c r="Y15" s="8" t="n">
        <f aca="false">_xlfn.STDEV.S(D15:W15)</f>
        <v>23.4219302319316</v>
      </c>
      <c r="Z15" s="8" t="n">
        <f aca="false">Y15/X15</f>
        <v>0.127601701026568</v>
      </c>
    </row>
    <row r="16" customFormat="false" ht="16.75" hidden="false" customHeight="false" outlineLevel="0" collapsed="false">
      <c r="B16" s="4"/>
      <c r="C16" s="5" t="n">
        <v>100</v>
      </c>
      <c r="D16" s="6" t="n">
        <v>180.4</v>
      </c>
      <c r="E16" s="6" t="n">
        <v>203.5</v>
      </c>
      <c r="F16" s="6" t="n">
        <v>175.3</v>
      </c>
      <c r="G16" s="6" t="n">
        <v>175.8</v>
      </c>
      <c r="H16" s="6" t="n">
        <v>200.7</v>
      </c>
      <c r="I16" s="6" t="n">
        <v>202.3</v>
      </c>
      <c r="J16" s="6" t="n">
        <v>189.9</v>
      </c>
      <c r="K16" s="6" t="n">
        <v>169.6</v>
      </c>
      <c r="L16" s="6" t="n">
        <v>185.5</v>
      </c>
      <c r="M16" s="6" t="n">
        <v>16.7</v>
      </c>
      <c r="N16" s="6" t="n">
        <v>223</v>
      </c>
      <c r="O16" s="6" t="n">
        <v>172.7</v>
      </c>
      <c r="P16" s="6" t="n">
        <v>204.8</v>
      </c>
      <c r="Q16" s="6" t="n">
        <v>165.2</v>
      </c>
      <c r="R16" s="6" t="n">
        <v>203.1</v>
      </c>
      <c r="S16" s="6" t="n">
        <v>163.1</v>
      </c>
      <c r="T16" s="6" t="n">
        <v>253.9</v>
      </c>
      <c r="U16" s="6" t="n">
        <v>231.9</v>
      </c>
      <c r="V16" s="6" t="n">
        <v>209</v>
      </c>
      <c r="W16" s="6" t="n">
        <v>217</v>
      </c>
      <c r="X16" s="7" t="n">
        <f aca="false">AVERAGE(D16:W16)</f>
        <v>187.17</v>
      </c>
      <c r="Y16" s="8" t="n">
        <f aca="false">_xlfn.STDEV.S(D16:W16)</f>
        <v>46.630384266507</v>
      </c>
      <c r="Z16" s="8" t="n">
        <f aca="false">Y16/X16</f>
        <v>0.249133858345392</v>
      </c>
    </row>
    <row r="17" customFormat="false" ht="16.75" hidden="false" customHeight="false" outlineLevel="0" collapsed="false">
      <c r="B17" s="4"/>
      <c r="C17" s="5" t="n">
        <v>150</v>
      </c>
      <c r="D17" s="6" t="n">
        <v>277.6</v>
      </c>
      <c r="E17" s="6" t="n">
        <v>292.3</v>
      </c>
      <c r="F17" s="6" t="n">
        <v>305.3</v>
      </c>
      <c r="G17" s="6" t="n">
        <v>287.9</v>
      </c>
      <c r="H17" s="6" t="n">
        <v>276.2</v>
      </c>
      <c r="I17" s="6" t="n">
        <v>279.8</v>
      </c>
      <c r="J17" s="6" t="n">
        <v>259.9</v>
      </c>
      <c r="K17" s="6" t="n">
        <v>280.6</v>
      </c>
      <c r="L17" s="6" t="n">
        <v>285.1</v>
      </c>
      <c r="M17" s="6" t="n">
        <v>330</v>
      </c>
      <c r="N17" s="6" t="n">
        <v>290.6</v>
      </c>
      <c r="O17" s="6" t="n">
        <v>277.2</v>
      </c>
      <c r="P17" s="6" t="n">
        <v>309.9</v>
      </c>
      <c r="Q17" s="6" t="n">
        <v>301.1</v>
      </c>
      <c r="R17" s="6" t="n">
        <v>311.5</v>
      </c>
      <c r="S17" s="6" t="n">
        <v>289.4</v>
      </c>
      <c r="T17" s="6" t="n">
        <v>298.4</v>
      </c>
      <c r="U17" s="6" t="n">
        <v>252.6</v>
      </c>
      <c r="V17" s="6" t="n">
        <v>275.2</v>
      </c>
      <c r="W17" s="6" t="n">
        <v>258</v>
      </c>
      <c r="X17" s="7" t="n">
        <f aca="false">AVERAGE(D17:W17)</f>
        <v>286.93</v>
      </c>
      <c r="Y17" s="8" t="n">
        <f aca="false">_xlfn.STDEV.S(D17:W17)</f>
        <v>19.1672719965433</v>
      </c>
      <c r="Z17" s="8" t="n">
        <f aca="false">Y17/X17</f>
        <v>0.0668012128273214</v>
      </c>
    </row>
    <row r="21" customFormat="false" ht="15" hidden="false" customHeight="false" outlineLevel="0" collapsed="false">
      <c r="A21" s="1" t="s">
        <v>0</v>
      </c>
      <c r="B21" s="1"/>
      <c r="C21" s="1"/>
    </row>
    <row r="22" customFormat="false" ht="15" hidden="false" customHeight="true" outlineLevel="0" collapsed="false">
      <c r="A22" s="1"/>
      <c r="B22" s="1"/>
      <c r="C22" s="1"/>
      <c r="D22" s="2" t="s">
        <v>27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true" outlineLevel="0" collapsed="false">
      <c r="A23" s="1"/>
      <c r="B23" s="1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true" outlineLevel="0" collapsed="false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29.85" hidden="false" customHeight="false" outlineLevel="0" collapsed="false">
      <c r="B25" s="3" t="s">
        <v>2</v>
      </c>
      <c r="C25" s="3" t="s">
        <v>3</v>
      </c>
      <c r="D25" s="3" t="s">
        <v>4</v>
      </c>
      <c r="E25" s="3" t="s">
        <v>5</v>
      </c>
      <c r="F25" s="3" t="s">
        <v>6</v>
      </c>
      <c r="G25" s="3" t="s">
        <v>7</v>
      </c>
      <c r="H25" s="3" t="s">
        <v>8</v>
      </c>
      <c r="I25" s="3" t="s">
        <v>9</v>
      </c>
      <c r="J25" s="3" t="s">
        <v>10</v>
      </c>
      <c r="K25" s="3" t="s">
        <v>11</v>
      </c>
      <c r="L25" s="3" t="s">
        <v>12</v>
      </c>
      <c r="M25" s="3" t="s">
        <v>13</v>
      </c>
      <c r="N25" s="3" t="s">
        <v>14</v>
      </c>
      <c r="O25" s="3" t="s">
        <v>15</v>
      </c>
      <c r="P25" s="3" t="s">
        <v>16</v>
      </c>
      <c r="Q25" s="3" t="s">
        <v>17</v>
      </c>
      <c r="R25" s="3" t="s">
        <v>18</v>
      </c>
      <c r="S25" s="3" t="s">
        <v>19</v>
      </c>
      <c r="T25" s="3" t="s">
        <v>20</v>
      </c>
      <c r="U25" s="3" t="s">
        <v>21</v>
      </c>
      <c r="V25" s="3" t="s">
        <v>22</v>
      </c>
      <c r="W25" s="3" t="s">
        <v>23</v>
      </c>
      <c r="X25" s="3" t="s">
        <v>24</v>
      </c>
      <c r="Y25" s="3" t="s">
        <v>25</v>
      </c>
      <c r="Z25" s="3" t="s">
        <v>26</v>
      </c>
      <c r="AB25" s="7"/>
      <c r="AC25" s="8"/>
      <c r="AD25" s="8"/>
    </row>
    <row r="26" customFormat="false" ht="16.75" hidden="false" customHeight="false" outlineLevel="0" collapsed="false">
      <c r="B26" s="4" t="n">
        <v>25</v>
      </c>
      <c r="C26" s="5" t="n">
        <v>13</v>
      </c>
      <c r="D26" s="0" t="n">
        <v>321.3</v>
      </c>
      <c r="E26" s="0" t="n">
        <v>247.3</v>
      </c>
      <c r="F26" s="0" t="n">
        <v>303.4</v>
      </c>
      <c r="G26" s="0" t="n">
        <v>213.1</v>
      </c>
      <c r="H26" s="0" t="n">
        <v>341.7</v>
      </c>
      <c r="I26" s="0" t="n">
        <v>322.6</v>
      </c>
      <c r="J26" s="0" t="n">
        <v>270.7</v>
      </c>
      <c r="K26" s="0" t="n">
        <v>279.9</v>
      </c>
      <c r="L26" s="0" t="n">
        <v>293.5</v>
      </c>
      <c r="M26" s="0" t="n">
        <v>246.4</v>
      </c>
      <c r="N26" s="0" t="n">
        <v>282.6</v>
      </c>
      <c r="O26" s="0" t="n">
        <f aca="false">637.6/2</f>
        <v>318.8</v>
      </c>
      <c r="P26" s="0" t="n">
        <f aca="false">866.9/3</f>
        <v>288.966666666667</v>
      </c>
      <c r="Q26" s="0" t="n">
        <v>332.6</v>
      </c>
      <c r="R26" s="0" t="n">
        <v>287.3</v>
      </c>
      <c r="S26" s="0" t="n">
        <v>316.3</v>
      </c>
      <c r="T26" s="0" t="n">
        <v>318.1</v>
      </c>
      <c r="U26" s="0" t="n">
        <v>213.4</v>
      </c>
      <c r="V26" s="0" t="n">
        <f aca="false">695.4/2</f>
        <v>347.7</v>
      </c>
      <c r="W26" s="0" t="n">
        <f aca="false">483.5/2</f>
        <v>241.75</v>
      </c>
      <c r="X26" s="7" t="n">
        <f aca="false">AVERAGE(D26:W26)</f>
        <v>289.370833333333</v>
      </c>
      <c r="Y26" s="8" t="n">
        <f aca="false">_xlfn.STDEV.S(D26:W26)</f>
        <v>40.213328023567</v>
      </c>
      <c r="Z26" s="8" t="n">
        <f aca="false">Y26/X26</f>
        <v>0.138968145339113</v>
      </c>
      <c r="AB26" s="7"/>
      <c r="AC26" s="8"/>
      <c r="AD26" s="8"/>
    </row>
    <row r="27" customFormat="false" ht="16.75" hidden="false" customHeight="false" outlineLevel="0" collapsed="false">
      <c r="B27" s="4"/>
      <c r="C27" s="5" t="n">
        <v>25</v>
      </c>
      <c r="D27" s="0" t="n">
        <v>355.2</v>
      </c>
      <c r="E27" s="0" t="n">
        <v>362.9</v>
      </c>
      <c r="F27" s="0" t="n">
        <v>361.7</v>
      </c>
      <c r="G27" s="0" t="n">
        <v>361.4</v>
      </c>
      <c r="H27" s="0" t="n">
        <v>359.8</v>
      </c>
      <c r="I27" s="0" t="n">
        <v>339.4</v>
      </c>
      <c r="J27" s="0" t="n">
        <v>358.2</v>
      </c>
      <c r="K27" s="0" t="n">
        <v>336.8</v>
      </c>
      <c r="L27" s="0" t="n">
        <v>362</v>
      </c>
      <c r="M27" s="0" t="n">
        <v>362</v>
      </c>
      <c r="N27" s="0" t="n">
        <v>362.3</v>
      </c>
      <c r="O27" s="0" t="n">
        <v>356.4</v>
      </c>
      <c r="P27" s="0" t="n">
        <v>360.9</v>
      </c>
      <c r="Q27" s="0" t="n">
        <v>375.5</v>
      </c>
      <c r="R27" s="0" t="n">
        <v>348.5</v>
      </c>
      <c r="S27" s="0" t="n">
        <v>355.7</v>
      </c>
      <c r="T27" s="0" t="n">
        <f aca="false">1408.7/4</f>
        <v>352.175</v>
      </c>
      <c r="U27" s="0" t="n">
        <v>345.2</v>
      </c>
      <c r="V27" s="0" t="n">
        <f aca="false">1059.1/3</f>
        <v>353.033333333333</v>
      </c>
      <c r="W27" s="0" t="n">
        <v>357.7</v>
      </c>
      <c r="X27" s="7" t="n">
        <f aca="false">AVERAGE(D27:W27)</f>
        <v>356.340416666667</v>
      </c>
      <c r="Y27" s="8" t="n">
        <f aca="false">_xlfn.STDEV.S(D27:W27)</f>
        <v>8.84508208873342</v>
      </c>
      <c r="Z27" s="8" t="n">
        <f aca="false">Y27/X27</f>
        <v>0.0248220007471323</v>
      </c>
      <c r="AB27" s="7"/>
      <c r="AC27" s="8"/>
      <c r="AD27" s="8"/>
    </row>
    <row r="28" customFormat="false" ht="16.75" hidden="false" customHeight="false" outlineLevel="0" collapsed="false">
      <c r="B28" s="4"/>
      <c r="C28" s="5" t="n">
        <v>38</v>
      </c>
      <c r="D28" s="0" t="n">
        <v>367.6</v>
      </c>
      <c r="E28" s="0" t="n">
        <v>363.5</v>
      </c>
      <c r="F28" s="0" t="n">
        <v>367.1</v>
      </c>
      <c r="G28" s="0" t="n">
        <v>374.1</v>
      </c>
      <c r="H28" s="0" t="n">
        <v>366.1</v>
      </c>
      <c r="I28" s="0" t="n">
        <v>375.4</v>
      </c>
      <c r="J28" s="0" t="n">
        <v>369.8</v>
      </c>
      <c r="K28" s="0" t="n">
        <v>374</v>
      </c>
      <c r="L28" s="0" t="n">
        <v>367.2</v>
      </c>
      <c r="M28" s="0" t="n">
        <v>366.4</v>
      </c>
      <c r="N28" s="0" t="n">
        <f aca="false">730.6/2</f>
        <v>365.3</v>
      </c>
      <c r="O28" s="0" t="n">
        <v>367.1</v>
      </c>
      <c r="P28" s="0" t="n">
        <f aca="false">734/2</f>
        <v>367</v>
      </c>
      <c r="Q28" s="0" t="n">
        <f aca="false">732.3/2</f>
        <v>366.15</v>
      </c>
      <c r="R28" s="0" t="n">
        <f aca="false">732.2/2</f>
        <v>366.1</v>
      </c>
      <c r="S28" s="0" t="n">
        <v>364.9</v>
      </c>
      <c r="T28" s="0" t="n">
        <v>363.9</v>
      </c>
      <c r="U28" s="0" t="n">
        <f aca="false">1098.8/3</f>
        <v>366.266666666667</v>
      </c>
      <c r="V28" s="0" t="n">
        <f aca="false">742.4/2</f>
        <v>371.2</v>
      </c>
      <c r="W28" s="0" t="n">
        <v>367.8</v>
      </c>
      <c r="X28" s="7" t="n">
        <f aca="false">AVERAGE(D28:W28)</f>
        <v>367.845833333333</v>
      </c>
      <c r="Y28" s="8" t="n">
        <f aca="false">_xlfn.STDEV.S(D28:W28)</f>
        <v>3.36077683079861</v>
      </c>
      <c r="Z28" s="8" t="n">
        <f aca="false">Y28/X28</f>
        <v>0.00913637324730318</v>
      </c>
      <c r="AB28" s="7"/>
      <c r="AC28" s="8"/>
      <c r="AD28" s="8"/>
    </row>
    <row r="29" customFormat="false" ht="16.75" hidden="false" customHeight="false" outlineLevel="0" collapsed="false">
      <c r="B29" s="4" t="n">
        <v>63</v>
      </c>
      <c r="C29" s="5" t="n">
        <v>31</v>
      </c>
      <c r="D29" s="0" t="n">
        <v>352.2</v>
      </c>
      <c r="E29" s="0" t="n">
        <v>329.2</v>
      </c>
      <c r="F29" s="0" t="n">
        <v>344.9</v>
      </c>
      <c r="G29" s="0" t="n">
        <v>341.4</v>
      </c>
      <c r="H29" s="0" t="n">
        <v>318.8</v>
      </c>
      <c r="I29" s="0" t="n">
        <f aca="false">961.6/3</f>
        <v>320.533333333333</v>
      </c>
      <c r="J29" s="0" t="n">
        <f aca="false">648.7/2</f>
        <v>324.35</v>
      </c>
      <c r="K29" s="0" t="n">
        <f aca="false">647.5/2</f>
        <v>323.75</v>
      </c>
      <c r="L29" s="0" t="n">
        <f aca="false">685.1/2</f>
        <v>342.55</v>
      </c>
      <c r="M29" s="0" t="n">
        <v>334.4</v>
      </c>
      <c r="N29" s="0" t="n">
        <v>341.7</v>
      </c>
      <c r="O29" s="0" t="n">
        <f aca="false">669.3/2</f>
        <v>334.65</v>
      </c>
      <c r="P29" s="0" t="n">
        <f aca="false">671.5/2</f>
        <v>335.75</v>
      </c>
      <c r="Q29" s="0" t="n">
        <v>335.6</v>
      </c>
      <c r="R29" s="0" t="n">
        <f aca="false">641.6/2</f>
        <v>320.8</v>
      </c>
      <c r="S29" s="0" t="n">
        <f aca="false">917/3</f>
        <v>305.666666666667</v>
      </c>
      <c r="T29" s="0" t="n">
        <v>329</v>
      </c>
      <c r="U29" s="0" t="n">
        <v>340.2</v>
      </c>
      <c r="V29" s="0" t="n">
        <v>335.3</v>
      </c>
      <c r="W29" s="0" t="n">
        <v>323.4</v>
      </c>
      <c r="X29" s="7" t="n">
        <f aca="false">AVERAGE(D29:W29)</f>
        <v>331.7075</v>
      </c>
      <c r="Y29" s="8" t="n">
        <f aca="false">_xlfn.STDEV.S(D29:W29)</f>
        <v>11.0654042756524</v>
      </c>
      <c r="Z29" s="8" t="n">
        <f aca="false">Y29/X29</f>
        <v>0.0333589209639588</v>
      </c>
      <c r="AB29" s="7"/>
      <c r="AC29" s="8"/>
      <c r="AD29" s="8"/>
    </row>
    <row r="30" customFormat="false" ht="16.75" hidden="false" customHeight="false" outlineLevel="0" collapsed="false">
      <c r="B30" s="4"/>
      <c r="C30" s="5" t="n">
        <v>63</v>
      </c>
      <c r="D30" s="0" t="n">
        <v>356.8</v>
      </c>
      <c r="E30" s="0" t="n">
        <v>362.2</v>
      </c>
      <c r="F30" s="0" t="n">
        <v>357.9</v>
      </c>
      <c r="G30" s="0" t="n">
        <v>356.1</v>
      </c>
      <c r="H30" s="0" t="n">
        <v>365.3</v>
      </c>
      <c r="I30" s="0" t="n">
        <v>363.5</v>
      </c>
      <c r="J30" s="0" t="n">
        <v>356.7</v>
      </c>
      <c r="K30" s="0" t="n">
        <v>355.4</v>
      </c>
      <c r="L30" s="0" t="n">
        <v>343.1</v>
      </c>
      <c r="M30" s="0" t="n">
        <v>357.4</v>
      </c>
      <c r="N30" s="0" t="n">
        <v>350.1</v>
      </c>
      <c r="O30" s="0" t="n">
        <v>359.4</v>
      </c>
      <c r="P30" s="0" t="n">
        <v>360.2</v>
      </c>
      <c r="Q30" s="0" t="n">
        <v>362.5</v>
      </c>
      <c r="R30" s="0" t="n">
        <v>366.1</v>
      </c>
      <c r="S30" s="0" t="n">
        <v>358.7</v>
      </c>
      <c r="T30" s="0" t="n">
        <v>346</v>
      </c>
      <c r="U30" s="0" t="n">
        <v>349.9</v>
      </c>
      <c r="V30" s="0" t="n">
        <v>361.6</v>
      </c>
      <c r="W30" s="0" t="n">
        <v>353.3</v>
      </c>
      <c r="X30" s="7" t="n">
        <f aca="false">AVERAGE(D30:W30)</f>
        <v>357.11</v>
      </c>
      <c r="Y30" s="8" t="n">
        <f aca="false">_xlfn.STDEV.S(D30:W30)</f>
        <v>6.16201436647397</v>
      </c>
      <c r="Z30" s="8" t="n">
        <f aca="false">Y30/X30</f>
        <v>0.0172552277070762</v>
      </c>
      <c r="AB30" s="7"/>
      <c r="AC30" s="8"/>
      <c r="AD30" s="8"/>
    </row>
    <row r="31" customFormat="false" ht="16.75" hidden="false" customHeight="false" outlineLevel="0" collapsed="false">
      <c r="B31" s="4"/>
      <c r="C31" s="5" t="n">
        <v>93</v>
      </c>
      <c r="D31" s="0" t="n">
        <v>371.1</v>
      </c>
      <c r="E31" s="0" t="n">
        <v>356</v>
      </c>
      <c r="F31" s="0" t="n">
        <v>366.6</v>
      </c>
      <c r="G31" s="0" t="n">
        <v>369.1</v>
      </c>
      <c r="H31" s="0" t="n">
        <v>368.4</v>
      </c>
      <c r="I31" s="0" t="n">
        <v>363.3</v>
      </c>
      <c r="J31" s="0" t="n">
        <v>363.3</v>
      </c>
      <c r="K31" s="0" t="n">
        <v>367.7</v>
      </c>
      <c r="L31" s="0" t="n">
        <v>365.9</v>
      </c>
      <c r="M31" s="0" t="n">
        <f aca="false">736.9/2</f>
        <v>368.45</v>
      </c>
      <c r="N31" s="0" t="n">
        <f aca="false">733/2</f>
        <v>366.5</v>
      </c>
      <c r="O31" s="0" t="n">
        <v>355.1</v>
      </c>
      <c r="P31" s="0" t="n">
        <f aca="false">731/2</f>
        <v>365.5</v>
      </c>
      <c r="Q31" s="0" t="n">
        <f aca="false">1088.4/3</f>
        <v>362.8</v>
      </c>
      <c r="R31" s="0" t="n">
        <v>364.1</v>
      </c>
      <c r="S31" s="0" t="n">
        <f aca="false">735.1/2</f>
        <v>367.55</v>
      </c>
      <c r="T31" s="0" t="n">
        <v>371</v>
      </c>
      <c r="U31" s="0" t="n">
        <v>369.1</v>
      </c>
      <c r="V31" s="0" t="n">
        <f aca="false">727.1/2</f>
        <v>363.55</v>
      </c>
      <c r="W31" s="0" t="n">
        <f aca="false">728.3/2</f>
        <v>364.15</v>
      </c>
      <c r="X31" s="7" t="n">
        <f aca="false">AVERAGE(D31:W31)</f>
        <v>365.46</v>
      </c>
      <c r="Y31" s="8" t="n">
        <f aca="false">_xlfn.STDEV.S(D31:W31)</f>
        <v>4.2239168652106</v>
      </c>
      <c r="Z31" s="8" t="n">
        <f aca="false">Y31/X31</f>
        <v>0.0115578089673578</v>
      </c>
      <c r="AB31" s="7"/>
      <c r="AC31" s="8"/>
      <c r="AD31" s="8"/>
    </row>
    <row r="32" customFormat="false" ht="16.75" hidden="false" customHeight="false" outlineLevel="0" collapsed="false">
      <c r="B32" s="4" t="n">
        <v>100</v>
      </c>
      <c r="C32" s="5" t="n">
        <v>25</v>
      </c>
      <c r="D32" s="0" t="n">
        <v>238.4</v>
      </c>
      <c r="E32" s="0" t="n">
        <v>154.3</v>
      </c>
      <c r="F32" s="0" t="n">
        <v>345.5</v>
      </c>
      <c r="G32" s="0" t="n">
        <v>199.4</v>
      </c>
      <c r="H32" s="0" t="n">
        <v>328</v>
      </c>
      <c r="I32" s="0" t="n">
        <v>174.9</v>
      </c>
      <c r="J32" s="0" t="n">
        <v>305</v>
      </c>
      <c r="K32" s="0" t="n">
        <f aca="false">463.2/2</f>
        <v>231.6</v>
      </c>
      <c r="L32" s="0" t="n">
        <f aca="false">594.5/2</f>
        <v>297.25</v>
      </c>
      <c r="M32" s="0" t="n">
        <v>301.1</v>
      </c>
      <c r="N32" s="0" t="n">
        <f aca="false">418.1/2</f>
        <v>209.05</v>
      </c>
      <c r="O32" s="0" t="n">
        <f aca="false">411/2</f>
        <v>205.5</v>
      </c>
      <c r="P32" s="0" t="n">
        <v>185.7</v>
      </c>
      <c r="Q32" s="0" t="n">
        <f aca="false">542.3/3</f>
        <v>180.766666666667</v>
      </c>
      <c r="R32" s="0" t="n">
        <v>205.8</v>
      </c>
      <c r="S32" s="0" t="n">
        <v>208.6</v>
      </c>
      <c r="T32" s="0" t="n">
        <v>207.2</v>
      </c>
      <c r="U32" s="0" t="n">
        <v>167.8</v>
      </c>
      <c r="V32" s="0" t="n">
        <f aca="false">408.9/2</f>
        <v>204.45</v>
      </c>
      <c r="W32" s="0" t="n">
        <f aca="false">475.3/2</f>
        <v>237.65</v>
      </c>
      <c r="X32" s="7" t="n">
        <f aca="false">AVERAGE(D32:W32)</f>
        <v>229.398333333333</v>
      </c>
      <c r="Y32" s="8" t="n">
        <f aca="false">_xlfn.STDEV.S(D32:W32)</f>
        <v>55.9534256773367</v>
      </c>
      <c r="Z32" s="8" t="n">
        <f aca="false">Y32/X32</f>
        <v>0.243913828249275</v>
      </c>
      <c r="AB32" s="7"/>
      <c r="AC32" s="8"/>
      <c r="AD32" s="8"/>
    </row>
    <row r="33" customFormat="false" ht="16.75" hidden="false" customHeight="false" outlineLevel="0" collapsed="false">
      <c r="B33" s="4"/>
      <c r="C33" s="5" t="n">
        <v>38</v>
      </c>
      <c r="D33" s="0" t="n">
        <v>303.7</v>
      </c>
      <c r="E33" s="0" t="n">
        <v>304.4</v>
      </c>
      <c r="F33" s="0" t="n">
        <v>291.1</v>
      </c>
      <c r="G33" s="0" t="n">
        <v>302.7</v>
      </c>
      <c r="H33" s="0" t="n">
        <v>291.6</v>
      </c>
      <c r="I33" s="0" t="n">
        <v>302.7</v>
      </c>
      <c r="J33" s="0" t="n">
        <v>279.8</v>
      </c>
      <c r="K33" s="0" t="n">
        <v>299.7</v>
      </c>
      <c r="L33" s="0" t="n">
        <v>311.4</v>
      </c>
      <c r="M33" s="0" t="n">
        <v>306.2</v>
      </c>
      <c r="N33" s="0" t="n">
        <v>305.8</v>
      </c>
      <c r="O33" s="0" t="n">
        <f aca="false">596.1/2</f>
        <v>298.05</v>
      </c>
      <c r="P33" s="0" t="n">
        <f aca="false">611.8/2</f>
        <v>305.9</v>
      </c>
      <c r="Q33" s="0" t="n">
        <f aca="false">1467.2/5</f>
        <v>293.44</v>
      </c>
      <c r="R33" s="0" t="n">
        <f aca="false">604.6/2</f>
        <v>302.3</v>
      </c>
      <c r="S33" s="0" t="n">
        <f aca="false">878.7/3</f>
        <v>292.9</v>
      </c>
      <c r="T33" s="0" t="n">
        <v>298.5</v>
      </c>
      <c r="U33" s="0" t="n">
        <v>302.5</v>
      </c>
      <c r="V33" s="0" t="n">
        <v>306.8</v>
      </c>
      <c r="W33" s="0" t="n">
        <f aca="false">572.2/2</f>
        <v>286.1</v>
      </c>
      <c r="X33" s="7" t="n">
        <f aca="false">AVERAGE(D33:W33)</f>
        <v>299.2795</v>
      </c>
      <c r="Y33" s="8" t="n">
        <f aca="false">_xlfn.STDEV.S(D33:W33)</f>
        <v>7.88897863778121</v>
      </c>
      <c r="Z33" s="8" t="n">
        <f aca="false">Y33/X33</f>
        <v>0.0263599031600267</v>
      </c>
      <c r="AB33" s="7"/>
      <c r="AC33" s="8"/>
      <c r="AD33" s="8"/>
    </row>
    <row r="34" customFormat="false" ht="16.75" hidden="false" customHeight="false" outlineLevel="0" collapsed="false">
      <c r="B34" s="4"/>
      <c r="C34" s="5" t="n">
        <v>50</v>
      </c>
      <c r="D34" s="0" t="n">
        <v>302.7</v>
      </c>
      <c r="E34" s="0" t="n">
        <v>298.5</v>
      </c>
      <c r="F34" s="0" t="n">
        <v>281.5</v>
      </c>
      <c r="G34" s="0" t="n">
        <v>280.5</v>
      </c>
      <c r="H34" s="0" t="n">
        <v>302.6</v>
      </c>
      <c r="I34" s="0" t="n">
        <v>297.1</v>
      </c>
      <c r="J34" s="0" t="n">
        <f aca="false">554.5/2</f>
        <v>277.25</v>
      </c>
      <c r="K34" s="0" t="n">
        <f aca="false">896.9/3</f>
        <v>298.966666666667</v>
      </c>
      <c r="L34" s="0" t="n">
        <v>292.8</v>
      </c>
      <c r="M34" s="0" t="n">
        <v>299.3</v>
      </c>
      <c r="N34" s="0" t="n">
        <f aca="false">1085.5/4</f>
        <v>271.375</v>
      </c>
      <c r="O34" s="0" t="n">
        <v>298</v>
      </c>
      <c r="P34" s="0" t="n">
        <v>287.4</v>
      </c>
      <c r="Q34" s="0" t="n">
        <v>210.3</v>
      </c>
      <c r="R34" s="0" t="n">
        <f aca="false">545.7/2</f>
        <v>272.85</v>
      </c>
      <c r="S34" s="0" t="n">
        <v>309.2</v>
      </c>
      <c r="T34" s="0" t="n">
        <v>303.5</v>
      </c>
      <c r="U34" s="0" t="n">
        <v>288.4</v>
      </c>
      <c r="V34" s="0" t="n">
        <f aca="false">608.2/2</f>
        <v>304.1</v>
      </c>
      <c r="W34" s="0" t="n">
        <v>290.3</v>
      </c>
      <c r="X34" s="7" t="n">
        <f aca="false">AVERAGE(D34:W34)</f>
        <v>288.332083333333</v>
      </c>
      <c r="Y34" s="8" t="n">
        <f aca="false">_xlfn.STDEV.S(D34:W34)</f>
        <v>21.4022598609687</v>
      </c>
      <c r="Z34" s="8" t="n">
        <f aca="false">Y34/X34</f>
        <v>0.074227812644166</v>
      </c>
      <c r="AB34" s="7"/>
      <c r="AC34" s="8"/>
      <c r="AD34" s="8"/>
    </row>
    <row r="35" customFormat="false" ht="16.75" hidden="false" customHeight="false" outlineLevel="0" collapsed="false">
      <c r="B35" s="4"/>
      <c r="C35" s="5" t="n">
        <v>75</v>
      </c>
      <c r="D35" s="0" t="n">
        <v>295.6</v>
      </c>
      <c r="E35" s="0" t="n">
        <v>308.7</v>
      </c>
      <c r="F35" s="0" t="n">
        <v>289.3</v>
      </c>
      <c r="G35" s="0" t="n">
        <v>295.3</v>
      </c>
      <c r="H35" s="0" t="n">
        <v>302.7</v>
      </c>
      <c r="I35" s="0" t="n">
        <v>279.1</v>
      </c>
      <c r="J35" s="0" t="n">
        <v>296.8</v>
      </c>
      <c r="K35" s="0" t="n">
        <v>287.1</v>
      </c>
      <c r="L35" s="0" t="n">
        <v>310.3</v>
      </c>
      <c r="M35" s="0" t="n">
        <v>307.3</v>
      </c>
      <c r="N35" s="0" t="n">
        <v>288.1</v>
      </c>
      <c r="O35" s="0" t="n">
        <v>299.7</v>
      </c>
      <c r="P35" s="0" t="n">
        <v>301.1</v>
      </c>
      <c r="Q35" s="0" t="n">
        <v>299.6</v>
      </c>
      <c r="R35" s="0" t="n">
        <v>310.1</v>
      </c>
      <c r="S35" s="0" t="n">
        <v>281.7</v>
      </c>
      <c r="T35" s="0" t="n">
        <v>282.8</v>
      </c>
      <c r="U35" s="0" t="n">
        <f aca="false">893.3/3</f>
        <v>297.766666666667</v>
      </c>
      <c r="V35" s="0" t="n">
        <v>299.3</v>
      </c>
      <c r="W35" s="0" t="n">
        <f aca="false">1513.5/5</f>
        <v>302.7</v>
      </c>
      <c r="X35" s="7" t="n">
        <f aca="false">AVERAGE(D35:W35)</f>
        <v>296.753333333333</v>
      </c>
      <c r="Y35" s="8" t="n">
        <f aca="false">_xlfn.STDEV.S(D35:W35)</f>
        <v>9.42985429615875</v>
      </c>
      <c r="Z35" s="8" t="n">
        <f aca="false">Y35/X35</f>
        <v>0.0317767426240382</v>
      </c>
      <c r="AB35" s="7"/>
      <c r="AC35" s="8"/>
      <c r="AD35" s="8"/>
    </row>
    <row r="36" customFormat="false" ht="16.75" hidden="false" customHeight="false" outlineLevel="0" collapsed="false">
      <c r="B36" s="4"/>
      <c r="C36" s="5" t="n">
        <v>100</v>
      </c>
      <c r="D36" s="0" t="n">
        <v>309.8</v>
      </c>
      <c r="E36" s="0" t="n">
        <v>308.9</v>
      </c>
      <c r="F36" s="0" t="n">
        <v>308</v>
      </c>
      <c r="G36" s="0" t="n">
        <v>313.1</v>
      </c>
      <c r="H36" s="0" t="n">
        <v>293.6</v>
      </c>
      <c r="I36" s="0" t="n">
        <v>306.6</v>
      </c>
      <c r="J36" s="0" t="n">
        <v>282</v>
      </c>
      <c r="K36" s="0" t="n">
        <v>293.6</v>
      </c>
      <c r="L36" s="0" t="n">
        <f aca="false">898.5/3</f>
        <v>299.5</v>
      </c>
      <c r="M36" s="0" t="n">
        <v>293.8</v>
      </c>
      <c r="N36" s="0" t="n">
        <v>323.8</v>
      </c>
      <c r="O36" s="0" t="n">
        <v>296.8</v>
      </c>
      <c r="P36" s="0" t="n">
        <v>301.1</v>
      </c>
      <c r="Q36" s="0" t="n">
        <f aca="false">563.5/2</f>
        <v>281.75</v>
      </c>
      <c r="R36" s="0" t="n">
        <v>287.8</v>
      </c>
      <c r="S36" s="0" t="n">
        <v>303.4</v>
      </c>
      <c r="T36" s="0" t="n">
        <v>281.7</v>
      </c>
      <c r="U36" s="0" t="n">
        <v>304.2</v>
      </c>
      <c r="V36" s="0" t="n">
        <f aca="false">622.4/2</f>
        <v>311.2</v>
      </c>
      <c r="W36" s="0" t="n">
        <v>320.3</v>
      </c>
      <c r="X36" s="7" t="n">
        <f aca="false">AVERAGE(D36:W36)</f>
        <v>301.0475</v>
      </c>
      <c r="Y36" s="8" t="n">
        <f aca="false">_xlfn.STDEV.S(D36:W36)</f>
        <v>12.2227083203442</v>
      </c>
      <c r="Z36" s="8" t="n">
        <f aca="false">Y36/X36</f>
        <v>0.0406005973155205</v>
      </c>
      <c r="AB36" s="7"/>
      <c r="AC36" s="8"/>
      <c r="AD36" s="8"/>
    </row>
    <row r="37" customFormat="false" ht="16.75" hidden="false" customHeight="false" outlineLevel="0" collapsed="false">
      <c r="B37" s="4"/>
      <c r="C37" s="5" t="n">
        <v>150</v>
      </c>
      <c r="D37" s="0" t="n">
        <v>301.4</v>
      </c>
      <c r="E37" s="0" t="n">
        <v>322.8</v>
      </c>
      <c r="F37" s="0" t="n">
        <f aca="false">602.5/2</f>
        <v>301.25</v>
      </c>
      <c r="G37" s="0" t="n">
        <v>264</v>
      </c>
      <c r="H37" s="0" t="n">
        <f aca="false">550.5/2</f>
        <v>275.25</v>
      </c>
      <c r="I37" s="0" t="n">
        <v>323.3</v>
      </c>
      <c r="J37" s="0" t="n">
        <v>326.2</v>
      </c>
      <c r="K37" s="0" t="n">
        <f aca="false">620.9/2</f>
        <v>310.45</v>
      </c>
      <c r="L37" s="0" t="n">
        <v>302.1</v>
      </c>
      <c r="M37" s="0" t="n">
        <f aca="false">581.4/2</f>
        <v>290.7</v>
      </c>
      <c r="N37" s="0" t="n">
        <v>290.6</v>
      </c>
      <c r="O37" s="0" t="n">
        <v>308.6</v>
      </c>
      <c r="P37" s="0" t="n">
        <v>293.4</v>
      </c>
      <c r="Q37" s="0" t="n">
        <f aca="false">659.1/2</f>
        <v>329.55</v>
      </c>
      <c r="R37" s="0" t="n">
        <f aca="false">606.1/2</f>
        <v>303.05</v>
      </c>
      <c r="S37" s="0" t="n">
        <v>308.6</v>
      </c>
      <c r="T37" s="0" t="n">
        <v>285.9</v>
      </c>
      <c r="U37" s="0" t="n">
        <v>320.3</v>
      </c>
      <c r="V37" s="0" t="n">
        <f aca="false">956.9/3</f>
        <v>318.966666666667</v>
      </c>
      <c r="W37" s="0" t="n">
        <v>321.1</v>
      </c>
      <c r="X37" s="7" t="n">
        <f aca="false">AVERAGE(D37:W37)</f>
        <v>304.875833333333</v>
      </c>
      <c r="Y37" s="8" t="n">
        <f aca="false">_xlfn.STDEV.S(D37:W37)</f>
        <v>17.7171815665139</v>
      </c>
      <c r="Z37" s="8" t="n">
        <f aca="false">Y37/X37</f>
        <v>0.058112777824351</v>
      </c>
    </row>
  </sheetData>
  <mergeCells count="10">
    <mergeCell ref="A1:C3"/>
    <mergeCell ref="D2:Z4"/>
    <mergeCell ref="B6:B8"/>
    <mergeCell ref="B9:B11"/>
    <mergeCell ref="B12:B17"/>
    <mergeCell ref="A21:C23"/>
    <mergeCell ref="D22:Z24"/>
    <mergeCell ref="B26:B28"/>
    <mergeCell ref="B29:B31"/>
    <mergeCell ref="B32:B37"/>
  </mergeCells>
  <conditionalFormatting sqref="D26:W37">
    <cfRule type="cellIs" priority="2" operator="greaterThan" aboveAverage="0" equalAverage="0" bottom="0" percent="0" rank="0" text="" dxfId="0">
      <formula>380</formula>
    </cfRule>
  </conditionalFormatting>
  <conditionalFormatting sqref="D12:D17 F12:W17">
    <cfRule type="cellIs" priority="3" operator="greaterThan" aboveAverage="0" equalAverage="0" bottom="0" percent="0" rank="0" text="" dxfId="1">
      <formula>400</formula>
    </cfRule>
  </conditionalFormatting>
  <conditionalFormatting sqref="D6:W11">
    <cfRule type="cellIs" priority="4" operator="greaterThan" aboveAverage="0" equalAverage="0" bottom="0" percent="0" rank="0" text="" dxfId="2">
      <formula>400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1:Z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C25" activeCellId="0" sqref="AC25"/>
    </sheetView>
  </sheetViews>
  <sheetFormatPr defaultColWidth="9.1484375" defaultRowHeight="15" zeroHeight="false" outlineLevelRow="0" outlineLevelCol="0"/>
  <cols>
    <col collapsed="false" customWidth="true" hidden="false" outlineLevel="0" max="24" min="24" style="0" width="9.42"/>
  </cols>
  <sheetData>
    <row r="21" customFormat="false" ht="15" hidden="false" customHeight="false" outlineLevel="0" collapsed="false">
      <c r="A21" s="1" t="s">
        <v>0</v>
      </c>
      <c r="B21" s="1"/>
      <c r="C21" s="1"/>
    </row>
    <row r="22" customFormat="false" ht="15" hidden="false" customHeight="true" outlineLevel="0" collapsed="false">
      <c r="A22" s="1"/>
      <c r="B22" s="1"/>
      <c r="C22" s="1"/>
      <c r="D22" s="2" t="s">
        <v>27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true" outlineLevel="0" collapsed="false">
      <c r="A23" s="1"/>
      <c r="B23" s="1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true" outlineLevel="0" collapsed="false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29.85" hidden="false" customHeight="false" outlineLevel="0" collapsed="false">
      <c r="B25" s="3" t="s">
        <v>2</v>
      </c>
      <c r="C25" s="3" t="s">
        <v>3</v>
      </c>
      <c r="D25" s="3" t="s">
        <v>4</v>
      </c>
      <c r="E25" s="3" t="s">
        <v>5</v>
      </c>
      <c r="F25" s="3" t="s">
        <v>6</v>
      </c>
      <c r="G25" s="3" t="s">
        <v>7</v>
      </c>
      <c r="H25" s="3" t="s">
        <v>8</v>
      </c>
      <c r="I25" s="3" t="s">
        <v>9</v>
      </c>
      <c r="J25" s="3" t="s">
        <v>10</v>
      </c>
      <c r="K25" s="3" t="s">
        <v>11</v>
      </c>
      <c r="L25" s="3" t="s">
        <v>12</v>
      </c>
      <c r="M25" s="3" t="s">
        <v>13</v>
      </c>
      <c r="N25" s="3" t="s">
        <v>14</v>
      </c>
      <c r="O25" s="3" t="s">
        <v>15</v>
      </c>
      <c r="P25" s="3" t="s">
        <v>16</v>
      </c>
      <c r="Q25" s="3" t="s">
        <v>17</v>
      </c>
      <c r="R25" s="3" t="s">
        <v>18</v>
      </c>
      <c r="S25" s="3" t="s">
        <v>19</v>
      </c>
      <c r="T25" s="3" t="s">
        <v>20</v>
      </c>
      <c r="U25" s="3" t="s">
        <v>21</v>
      </c>
      <c r="V25" s="3" t="s">
        <v>22</v>
      </c>
      <c r="W25" s="3" t="s">
        <v>23</v>
      </c>
      <c r="X25" s="3" t="s">
        <v>24</v>
      </c>
      <c r="Y25" s="3" t="s">
        <v>25</v>
      </c>
      <c r="Z25" s="3" t="s">
        <v>26</v>
      </c>
    </row>
    <row r="26" customFormat="false" ht="16.75" hidden="false" customHeight="false" outlineLevel="0" collapsed="false">
      <c r="B26" s="4" t="n">
        <v>25</v>
      </c>
      <c r="C26" s="5" t="n">
        <v>13</v>
      </c>
      <c r="D26" s="9" t="n">
        <v>243.4</v>
      </c>
      <c r="E26" s="9" t="n">
        <v>283.3</v>
      </c>
      <c r="F26" s="9" t="n">
        <v>235.1</v>
      </c>
      <c r="G26" s="9" t="n">
        <v>283.6</v>
      </c>
      <c r="H26" s="9" t="n">
        <v>232.1</v>
      </c>
      <c r="I26" s="9" t="n">
        <v>203.1</v>
      </c>
      <c r="J26" s="9" t="n">
        <v>260.8</v>
      </c>
      <c r="K26" s="9" t="n">
        <v>310.2</v>
      </c>
      <c r="L26" s="9" t="n">
        <v>286.1</v>
      </c>
      <c r="M26" s="9" t="n">
        <v>235.3</v>
      </c>
      <c r="N26" s="9" t="n">
        <v>232.5</v>
      </c>
      <c r="O26" s="9" t="n">
        <v>328.5</v>
      </c>
      <c r="P26" s="9" t="n">
        <v>293.7</v>
      </c>
      <c r="Q26" s="9" t="n">
        <v>283</v>
      </c>
      <c r="R26" s="9" t="n">
        <v>297.1</v>
      </c>
      <c r="S26" s="9" t="n">
        <v>281.9</v>
      </c>
      <c r="T26" s="9" t="n">
        <v>280.1</v>
      </c>
      <c r="U26" s="9" t="n">
        <v>329.5</v>
      </c>
      <c r="V26" s="9" t="n">
        <v>282.6</v>
      </c>
      <c r="W26" s="9" t="n">
        <v>321.8</v>
      </c>
      <c r="X26" s="7" t="n">
        <f aca="false">AVERAGE(D26:W26)</f>
        <v>275.185</v>
      </c>
      <c r="Y26" s="8" t="n">
        <f aca="false">_xlfn.STDEV.S(D26:W26)</f>
        <v>35.3517702229281</v>
      </c>
      <c r="Z26" s="8" t="n">
        <f aca="false">Y26/X26</f>
        <v>0.128465469494806</v>
      </c>
    </row>
    <row r="27" customFormat="false" ht="16.75" hidden="false" customHeight="false" outlineLevel="0" collapsed="false">
      <c r="B27" s="4"/>
      <c r="C27" s="5" t="n">
        <v>25</v>
      </c>
      <c r="D27" s="9" t="n">
        <v>356.3</v>
      </c>
      <c r="E27" s="9" t="n">
        <v>279.2</v>
      </c>
      <c r="F27" s="9" t="n">
        <v>360.4</v>
      </c>
      <c r="G27" s="9" t="n">
        <v>336.6</v>
      </c>
      <c r="H27" s="9" t="n">
        <v>311.6</v>
      </c>
      <c r="I27" s="9" t="n">
        <v>301</v>
      </c>
      <c r="J27" s="9" t="n">
        <v>362.3</v>
      </c>
      <c r="K27" s="9" t="n">
        <v>309.8</v>
      </c>
      <c r="L27" s="9" t="n">
        <v>350.4</v>
      </c>
      <c r="M27" s="9" t="n">
        <v>218</v>
      </c>
      <c r="N27" s="9" t="n">
        <v>285.8</v>
      </c>
      <c r="O27" s="9" t="n">
        <v>364.5</v>
      </c>
      <c r="P27" s="9" t="n">
        <v>364.9</v>
      </c>
      <c r="Q27" s="9" t="n">
        <v>264.3</v>
      </c>
      <c r="R27" s="9" t="n">
        <v>289.6</v>
      </c>
      <c r="S27" s="9" t="n">
        <v>232.1</v>
      </c>
      <c r="T27" s="9" t="n">
        <v>345.6</v>
      </c>
      <c r="U27" s="9" t="n">
        <v>357.5</v>
      </c>
      <c r="V27" s="9" t="n">
        <v>254.5</v>
      </c>
      <c r="W27" s="9" t="n">
        <v>320.4</v>
      </c>
      <c r="X27" s="7" t="n">
        <f aca="false">AVERAGE(D27:W27)</f>
        <v>313.24</v>
      </c>
      <c r="Y27" s="8" t="n">
        <f aca="false">_xlfn.STDEV.S(D27:W27)</f>
        <v>46.3965334458241</v>
      </c>
      <c r="Z27" s="8" t="n">
        <f aca="false">Y27/X27</f>
        <v>0.148118163216141</v>
      </c>
    </row>
    <row r="28" customFormat="false" ht="16.75" hidden="false" customHeight="false" outlineLevel="0" collapsed="false">
      <c r="B28" s="4"/>
      <c r="C28" s="5" t="n">
        <v>38</v>
      </c>
      <c r="D28" s="9" t="n">
        <v>365.4</v>
      </c>
      <c r="E28" s="9" t="n">
        <v>369.5</v>
      </c>
      <c r="F28" s="9" t="n">
        <v>365.4</v>
      </c>
      <c r="G28" s="9" t="n">
        <v>365.2</v>
      </c>
      <c r="H28" s="9" t="n">
        <v>355.5</v>
      </c>
      <c r="I28" s="9" t="n">
        <v>371.5</v>
      </c>
      <c r="J28" s="9" t="n">
        <v>354.3</v>
      </c>
      <c r="K28" s="9" t="n">
        <v>343.5</v>
      </c>
      <c r="L28" s="9" t="n">
        <v>370.3</v>
      </c>
      <c r="M28" s="9" t="n">
        <v>366.3</v>
      </c>
      <c r="N28" s="9" t="n">
        <v>369.3</v>
      </c>
      <c r="O28" s="9" t="n">
        <v>363.6</v>
      </c>
      <c r="P28" s="9" t="n">
        <v>361.1</v>
      </c>
      <c r="Q28" s="9" t="n">
        <v>360.7</v>
      </c>
      <c r="R28" s="9" t="n">
        <v>343.6</v>
      </c>
      <c r="S28" s="9" t="n">
        <v>352</v>
      </c>
      <c r="T28" s="9" t="n">
        <v>364.5</v>
      </c>
      <c r="U28" s="9" t="n">
        <v>361.5</v>
      </c>
      <c r="V28" s="9" t="n">
        <v>363.9</v>
      </c>
      <c r="W28" s="9" t="n">
        <v>362.5</v>
      </c>
      <c r="X28" s="7" t="n">
        <f aca="false">AVERAGE(D28:W28)</f>
        <v>361.48</v>
      </c>
      <c r="Y28" s="8" t="n">
        <f aca="false">_xlfn.STDEV.S(D28:W28)</f>
        <v>7.98976977469511</v>
      </c>
      <c r="Z28" s="8" t="n">
        <f aca="false">Y28/X28</f>
        <v>0.0221029372985922</v>
      </c>
    </row>
    <row r="29" customFormat="false" ht="16.75" hidden="false" customHeight="false" outlineLevel="0" collapsed="false">
      <c r="B29" s="4" t="n">
        <v>63</v>
      </c>
      <c r="C29" s="5" t="n">
        <v>31</v>
      </c>
      <c r="D29" s="9" t="n">
        <v>326.9</v>
      </c>
      <c r="E29" s="9" t="n">
        <v>264.3</v>
      </c>
      <c r="F29" s="9" t="n">
        <v>255.2</v>
      </c>
      <c r="G29" s="9" t="n">
        <v>280.7</v>
      </c>
      <c r="H29" s="9" t="n">
        <v>282.1</v>
      </c>
      <c r="I29" s="9" t="n">
        <v>238.3</v>
      </c>
      <c r="J29" s="9" t="n">
        <v>252.8</v>
      </c>
      <c r="K29" s="9" t="n">
        <v>297.7</v>
      </c>
      <c r="L29" s="9" t="n">
        <v>228.5</v>
      </c>
      <c r="M29" s="9" t="n">
        <v>299.5</v>
      </c>
      <c r="N29" s="9" t="n">
        <v>299.8</v>
      </c>
      <c r="O29" s="9" t="n">
        <v>287.8</v>
      </c>
      <c r="P29" s="9" t="n">
        <v>226.2</v>
      </c>
      <c r="Q29" s="9" t="n">
        <v>273.3</v>
      </c>
      <c r="R29" s="9" t="n">
        <v>223.1</v>
      </c>
      <c r="S29" s="9" t="n">
        <v>236.5</v>
      </c>
      <c r="T29" s="9" t="n">
        <v>202</v>
      </c>
      <c r="U29" s="9" t="n">
        <v>318.2</v>
      </c>
      <c r="V29" s="9" t="n">
        <v>286.3</v>
      </c>
      <c r="W29" s="9" t="n">
        <v>313.9</v>
      </c>
      <c r="X29" s="7" t="n">
        <f aca="false">AVERAGE(D29:W29)</f>
        <v>269.655</v>
      </c>
      <c r="Y29" s="8" t="n">
        <f aca="false">_xlfn.STDEV.S(D29:W29)</f>
        <v>35.5441826611983</v>
      </c>
      <c r="Z29" s="8" t="n">
        <f aca="false">Y29/X29</f>
        <v>0.131813549391624</v>
      </c>
    </row>
    <row r="30" customFormat="false" ht="16.75" hidden="false" customHeight="false" outlineLevel="0" collapsed="false">
      <c r="B30" s="4"/>
      <c r="C30" s="5" t="n">
        <v>63</v>
      </c>
      <c r="D30" s="9" t="n">
        <v>368</v>
      </c>
      <c r="E30" s="9" t="n">
        <v>361.9</v>
      </c>
      <c r="F30" s="9" t="n">
        <v>365.2</v>
      </c>
      <c r="G30" s="9" t="n">
        <v>369.6</v>
      </c>
      <c r="H30" s="9" t="n">
        <v>371</v>
      </c>
      <c r="I30" s="9" t="n">
        <v>366.7</v>
      </c>
      <c r="J30" s="9" t="n">
        <v>370.6</v>
      </c>
      <c r="K30" s="9" t="n">
        <v>363.9</v>
      </c>
      <c r="L30" s="9" t="n">
        <v>360</v>
      </c>
      <c r="M30" s="9" t="n">
        <v>361.1</v>
      </c>
      <c r="N30" s="9" t="n">
        <v>361.7</v>
      </c>
      <c r="O30" s="9" t="n">
        <v>362.7</v>
      </c>
      <c r="P30" s="9" t="n">
        <v>372.4</v>
      </c>
      <c r="Q30" s="9" t="n">
        <v>372</v>
      </c>
      <c r="R30" s="9" t="n">
        <v>362.5</v>
      </c>
      <c r="S30" s="9" t="n">
        <v>372.7</v>
      </c>
      <c r="T30" s="9" t="n">
        <v>372.5</v>
      </c>
      <c r="U30" s="9" t="n">
        <v>362</v>
      </c>
      <c r="V30" s="9" t="n">
        <v>364.4</v>
      </c>
      <c r="W30" s="9" t="n">
        <v>367.1</v>
      </c>
      <c r="X30" s="7" t="n">
        <f aca="false">AVERAGE(D30:W30)</f>
        <v>366.4</v>
      </c>
      <c r="Y30" s="8" t="n">
        <f aca="false">_xlfn.STDEV.S(D30:W30)</f>
        <v>4.3996411336907</v>
      </c>
      <c r="Z30" s="8" t="n">
        <f aca="false">Y30/X30</f>
        <v>0.0120077541858371</v>
      </c>
    </row>
    <row r="31" customFormat="false" ht="16.75" hidden="false" customHeight="false" outlineLevel="0" collapsed="false">
      <c r="B31" s="4"/>
      <c r="C31" s="5" t="n">
        <v>93</v>
      </c>
      <c r="D31" s="9" t="n">
        <v>378.8</v>
      </c>
      <c r="E31" s="9" t="n">
        <v>379.2</v>
      </c>
      <c r="F31" s="9" t="n">
        <v>372.5</v>
      </c>
      <c r="G31" s="9" t="n">
        <v>374</v>
      </c>
      <c r="H31" s="9" t="n">
        <v>363.2</v>
      </c>
      <c r="I31" s="9" t="n">
        <v>374.5</v>
      </c>
      <c r="J31" s="9" t="n">
        <v>375.1</v>
      </c>
      <c r="K31" s="9" t="n">
        <v>373.2</v>
      </c>
      <c r="L31" s="9" t="n">
        <v>378.4</v>
      </c>
      <c r="M31" s="9" t="n">
        <v>376.1</v>
      </c>
      <c r="N31" s="9" t="n">
        <v>376.2</v>
      </c>
      <c r="O31" s="9" t="n">
        <v>377</v>
      </c>
      <c r="P31" s="9" t="n">
        <v>376.8</v>
      </c>
      <c r="Q31" s="9" t="n">
        <v>373.4</v>
      </c>
      <c r="R31" s="9" t="n">
        <v>374.2</v>
      </c>
      <c r="S31" s="9" t="n">
        <v>377</v>
      </c>
      <c r="T31" s="9" t="n">
        <v>380.9</v>
      </c>
      <c r="U31" s="9" t="n">
        <v>376.5</v>
      </c>
      <c r="V31" s="9" t="n">
        <v>376.7</v>
      </c>
      <c r="W31" s="9" t="n">
        <v>376.1</v>
      </c>
      <c r="X31" s="7" t="n">
        <f aca="false">AVERAGE(D31:W31)</f>
        <v>375.49</v>
      </c>
      <c r="Y31" s="8" t="n">
        <f aca="false">_xlfn.STDEV.S(D31:W31)</f>
        <v>3.60612052809635</v>
      </c>
      <c r="Z31" s="8" t="n">
        <f aca="false">Y31/X31</f>
        <v>0.00960377247888453</v>
      </c>
    </row>
    <row r="32" customFormat="false" ht="16.75" hidden="false" customHeight="false" outlineLevel="0" collapsed="false">
      <c r="B32" s="4" t="n">
        <v>100</v>
      </c>
      <c r="C32" s="5" t="n">
        <v>25</v>
      </c>
      <c r="D32" s="9" t="n">
        <v>209.2</v>
      </c>
      <c r="E32" s="9" t="n">
        <v>197.1</v>
      </c>
      <c r="F32" s="9" t="n">
        <v>202.7</v>
      </c>
      <c r="G32" s="9" t="n">
        <v>214.6</v>
      </c>
      <c r="H32" s="9" t="n">
        <v>192.1</v>
      </c>
      <c r="I32" s="9" t="n">
        <v>249.1</v>
      </c>
      <c r="J32" s="9" t="n">
        <v>252.6</v>
      </c>
      <c r="K32" s="9" t="n">
        <v>240.5</v>
      </c>
      <c r="L32" s="9" t="n">
        <v>182.5</v>
      </c>
      <c r="M32" s="9" t="n">
        <v>149.1</v>
      </c>
      <c r="N32" s="9" t="n">
        <v>198.5</v>
      </c>
      <c r="O32" s="9" t="n">
        <v>207.8</v>
      </c>
      <c r="P32" s="9" t="n">
        <v>221.9</v>
      </c>
      <c r="Q32" s="9" t="n">
        <v>151.6</v>
      </c>
      <c r="R32" s="9" t="n">
        <v>180.4</v>
      </c>
      <c r="S32" s="9" t="n">
        <v>188.8</v>
      </c>
      <c r="T32" s="9" t="n">
        <v>148.3</v>
      </c>
      <c r="U32" s="9" t="n">
        <v>159.8</v>
      </c>
      <c r="V32" s="9" t="n">
        <v>166.2</v>
      </c>
      <c r="W32" s="9" t="n">
        <v>199.7</v>
      </c>
      <c r="X32" s="7" t="n">
        <f aca="false">AVERAGE(D32:W32)</f>
        <v>195.625</v>
      </c>
      <c r="Y32" s="8" t="n">
        <f aca="false">_xlfn.STDEV.S(D32:W32)</f>
        <v>31.2328247538589</v>
      </c>
      <c r="Z32" s="8" t="n">
        <f aca="false">Y32/X32</f>
        <v>0.159656612160301</v>
      </c>
    </row>
    <row r="33" customFormat="false" ht="16.75" hidden="false" customHeight="false" outlineLevel="0" collapsed="false">
      <c r="B33" s="4"/>
      <c r="C33" s="5" t="n">
        <v>38</v>
      </c>
      <c r="D33" s="9" t="n">
        <v>281.9</v>
      </c>
      <c r="E33" s="9" t="n">
        <v>264.4</v>
      </c>
      <c r="F33" s="9" t="n">
        <v>202.6</v>
      </c>
      <c r="G33" s="9" t="n">
        <v>290</v>
      </c>
      <c r="H33" s="9" t="n">
        <v>296.4</v>
      </c>
      <c r="I33" s="9" t="n">
        <v>231.5</v>
      </c>
      <c r="J33" s="9" t="n">
        <v>220.5</v>
      </c>
      <c r="K33" s="9" t="n">
        <v>307.4</v>
      </c>
      <c r="L33" s="9" t="n">
        <v>245.8</v>
      </c>
      <c r="M33" s="9" t="n">
        <v>302.3</v>
      </c>
      <c r="N33" s="9" t="n">
        <v>282.4</v>
      </c>
      <c r="O33" s="9" t="n">
        <v>277.5</v>
      </c>
      <c r="P33" s="9" t="n">
        <v>253.7</v>
      </c>
      <c r="Q33" s="9" t="n">
        <v>202.2</v>
      </c>
      <c r="R33" s="9" t="n">
        <v>308.8</v>
      </c>
      <c r="S33" s="9" t="n">
        <v>308.5</v>
      </c>
      <c r="T33" s="9" t="n">
        <v>260.5</v>
      </c>
      <c r="U33" s="9" t="n">
        <v>267.4</v>
      </c>
      <c r="V33" s="9" t="n">
        <v>232.2</v>
      </c>
      <c r="W33" s="9" t="n">
        <v>309.4</v>
      </c>
      <c r="X33" s="7" t="n">
        <f aca="false">AVERAGE(D33:W33)</f>
        <v>267.27</v>
      </c>
      <c r="Y33" s="8" t="n">
        <f aca="false">_xlfn.STDEV.S(D33:W33)</f>
        <v>35.3644647693282</v>
      </c>
      <c r="Z33" s="8" t="n">
        <f aca="false">Y33/X33</f>
        <v>0.13231737482444</v>
      </c>
    </row>
    <row r="34" customFormat="false" ht="16.75" hidden="false" customHeight="false" outlineLevel="0" collapsed="false">
      <c r="B34" s="4"/>
      <c r="C34" s="5" t="n">
        <v>50</v>
      </c>
      <c r="D34" s="9" t="n">
        <v>254</v>
      </c>
      <c r="E34" s="9" t="n">
        <v>302.4</v>
      </c>
      <c r="F34" s="9" t="n">
        <v>226.3</v>
      </c>
      <c r="G34" s="9" t="n">
        <v>245.1</v>
      </c>
      <c r="H34" s="9" t="n">
        <v>208.8</v>
      </c>
      <c r="I34" s="9" t="n">
        <v>258.9</v>
      </c>
      <c r="J34" s="9" t="n">
        <v>245.7</v>
      </c>
      <c r="K34" s="9" t="n">
        <v>267.9</v>
      </c>
      <c r="L34" s="9" t="n">
        <v>316.1</v>
      </c>
      <c r="M34" s="9" t="n">
        <v>308.4</v>
      </c>
      <c r="N34" s="9" t="n">
        <v>288.3</v>
      </c>
      <c r="O34" s="9" t="n">
        <v>274.6</v>
      </c>
      <c r="P34" s="9" t="n">
        <v>274</v>
      </c>
      <c r="Q34" s="9" t="n">
        <v>248.9</v>
      </c>
      <c r="R34" s="9" t="n">
        <v>237.1</v>
      </c>
      <c r="S34" s="9" t="n">
        <v>196</v>
      </c>
      <c r="T34" s="9" t="n">
        <v>186.5</v>
      </c>
      <c r="U34" s="9" t="n">
        <v>251.9</v>
      </c>
      <c r="V34" s="9" t="n">
        <v>314.3</v>
      </c>
      <c r="W34" s="9" t="n">
        <v>298</v>
      </c>
      <c r="X34" s="7" t="n">
        <f aca="false">AVERAGE(D34:W34)</f>
        <v>260.16</v>
      </c>
      <c r="Y34" s="8" t="n">
        <f aca="false">_xlfn.STDEV.S(D34:W34)</f>
        <v>37.9641714750826</v>
      </c>
      <c r="Z34" s="8" t="n">
        <f aca="false">Y34/X34</f>
        <v>0.145926243369782</v>
      </c>
    </row>
    <row r="35" customFormat="false" ht="16.75" hidden="false" customHeight="false" outlineLevel="0" collapsed="false">
      <c r="B35" s="4"/>
      <c r="C35" s="5" t="n">
        <v>75</v>
      </c>
      <c r="D35" s="9" t="n">
        <v>286.6</v>
      </c>
      <c r="E35" s="9" t="n">
        <v>273.4</v>
      </c>
      <c r="F35" s="9" t="n">
        <v>284.1</v>
      </c>
      <c r="G35" s="9" t="n">
        <v>299.6</v>
      </c>
      <c r="H35" s="9" t="n">
        <v>300</v>
      </c>
      <c r="I35" s="9" t="n">
        <v>274.9</v>
      </c>
      <c r="J35" s="9" t="n">
        <v>284.3</v>
      </c>
      <c r="K35" s="9" t="n">
        <v>273.4</v>
      </c>
      <c r="L35" s="9" t="n">
        <v>311.9</v>
      </c>
      <c r="M35" s="9" t="n">
        <v>306.3</v>
      </c>
      <c r="N35" s="9" t="n">
        <v>305</v>
      </c>
      <c r="O35" s="9" t="n">
        <v>288</v>
      </c>
      <c r="P35" s="9" t="n">
        <v>276.8</v>
      </c>
      <c r="Q35" s="9" t="n">
        <v>303.1</v>
      </c>
      <c r="R35" s="9" t="n">
        <v>302.9</v>
      </c>
      <c r="S35" s="9" t="n">
        <v>289.6</v>
      </c>
      <c r="T35" s="9" t="n">
        <v>257.9</v>
      </c>
      <c r="U35" s="9" t="n">
        <v>259.9</v>
      </c>
      <c r="V35" s="9" t="n">
        <v>249.9</v>
      </c>
      <c r="W35" s="9" t="n">
        <v>253.3</v>
      </c>
      <c r="X35" s="7" t="n">
        <f aca="false">AVERAGE(D35:W35)</f>
        <v>284.045</v>
      </c>
      <c r="Y35" s="8" t="n">
        <f aca="false">_xlfn.STDEV.S(D35:W35)</f>
        <v>18.8050238248355</v>
      </c>
      <c r="Z35" s="8" t="n">
        <f aca="false">Y35/X35</f>
        <v>0.0662043824916317</v>
      </c>
    </row>
    <row r="36" customFormat="false" ht="16.75" hidden="false" customHeight="false" outlineLevel="0" collapsed="false">
      <c r="B36" s="4"/>
      <c r="C36" s="5" t="n">
        <v>100</v>
      </c>
      <c r="D36" s="9" t="n">
        <v>356.2</v>
      </c>
      <c r="E36" s="9" t="n">
        <v>320.5</v>
      </c>
      <c r="F36" s="9" t="n">
        <v>365.8</v>
      </c>
      <c r="G36" s="9" t="n">
        <v>372.4</v>
      </c>
      <c r="H36" s="9" t="n">
        <v>354.6</v>
      </c>
      <c r="I36" s="9" t="n">
        <v>354.4</v>
      </c>
      <c r="J36" s="9" t="n">
        <v>345.6</v>
      </c>
      <c r="K36" s="9" t="n">
        <v>355.8</v>
      </c>
      <c r="L36" s="9" t="n">
        <v>367</v>
      </c>
      <c r="M36" s="9" t="n">
        <v>356.3</v>
      </c>
      <c r="N36" s="9" t="n">
        <v>346.7</v>
      </c>
      <c r="O36" s="9" t="n">
        <v>363</v>
      </c>
      <c r="P36" s="9" t="n">
        <v>365</v>
      </c>
      <c r="Q36" s="9" t="n">
        <v>357.5</v>
      </c>
      <c r="R36" s="9" t="n">
        <v>355.9</v>
      </c>
      <c r="S36" s="9" t="n">
        <v>344.2</v>
      </c>
      <c r="T36" s="9" t="n">
        <v>372.8</v>
      </c>
      <c r="U36" s="9" t="n">
        <v>347</v>
      </c>
      <c r="V36" s="9" t="n">
        <v>339.7</v>
      </c>
      <c r="W36" s="9" t="n">
        <v>369.6</v>
      </c>
      <c r="X36" s="7" t="n">
        <f aca="false">AVERAGE(D36:W36)</f>
        <v>355.5</v>
      </c>
      <c r="Y36" s="8" t="n">
        <f aca="false">_xlfn.STDEV.S(D36:W36)</f>
        <v>12.6199090829989</v>
      </c>
      <c r="Z36" s="8" t="n">
        <f aca="false">Y36/X36</f>
        <v>0.0354990410210939</v>
      </c>
    </row>
    <row r="37" customFormat="false" ht="16.75" hidden="false" customHeight="false" outlineLevel="0" collapsed="false">
      <c r="B37" s="4"/>
      <c r="C37" s="5" t="n">
        <v>150</v>
      </c>
      <c r="D37" s="9" t="n">
        <v>360.3</v>
      </c>
      <c r="E37" s="9" t="n">
        <v>373.8</v>
      </c>
      <c r="F37" s="9" t="n">
        <v>337.7</v>
      </c>
      <c r="G37" s="9" t="n">
        <v>371.5</v>
      </c>
      <c r="H37" s="9" t="n">
        <v>361.4</v>
      </c>
      <c r="I37" s="9" t="n">
        <v>337.6</v>
      </c>
      <c r="J37" s="9" t="n">
        <v>371.9</v>
      </c>
      <c r="K37" s="9" t="n">
        <v>359.8</v>
      </c>
      <c r="L37" s="9" t="n">
        <v>359.4</v>
      </c>
      <c r="M37" s="9" t="n">
        <v>350.3</v>
      </c>
      <c r="N37" s="9" t="n">
        <v>367.9</v>
      </c>
      <c r="O37" s="9" t="n">
        <v>374.7</v>
      </c>
      <c r="P37" s="9" t="n">
        <v>373.9</v>
      </c>
      <c r="Q37" s="9" t="n">
        <v>374.3</v>
      </c>
      <c r="R37" s="9" t="n">
        <v>357.9</v>
      </c>
      <c r="S37" s="9" t="n">
        <v>371.6</v>
      </c>
      <c r="T37" s="9" t="n">
        <v>372.4</v>
      </c>
      <c r="U37" s="9" t="n">
        <v>362.8</v>
      </c>
      <c r="V37" s="9" t="n">
        <v>352.8</v>
      </c>
      <c r="W37" s="9" t="n">
        <v>364.5</v>
      </c>
      <c r="X37" s="7" t="n">
        <f aca="false">AVERAGE(D37:W37)</f>
        <v>362.825</v>
      </c>
      <c r="Y37" s="8" t="n">
        <f aca="false">_xlfn.STDEV.S(D37:W37)</f>
        <v>11.3535005035544</v>
      </c>
      <c r="Z37" s="8" t="n">
        <f aca="false">Y37/X37</f>
        <v>0.0312919465404931</v>
      </c>
    </row>
  </sheetData>
  <mergeCells count="5">
    <mergeCell ref="A21:C23"/>
    <mergeCell ref="D22:Z24"/>
    <mergeCell ref="B26:B28"/>
    <mergeCell ref="B29:B31"/>
    <mergeCell ref="B32:B37"/>
  </mergeCells>
  <conditionalFormatting sqref="D26:W37">
    <cfRule type="cellIs" priority="2" operator="greaterThan" aboveAverage="0" equalAverage="0" bottom="0" percent="0" rank="0" text="" dxfId="3">
      <formula>380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1"/>
      <c r="B2" s="1"/>
      <c r="C2" s="1"/>
      <c r="D2" s="2" t="s">
        <v>28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9.8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  <c r="X5" s="3" t="s">
        <v>24</v>
      </c>
      <c r="Y5" s="3" t="s">
        <v>25</v>
      </c>
      <c r="Z5" s="3" t="s">
        <v>29</v>
      </c>
    </row>
    <row r="6" customFormat="false" ht="16.75" hidden="false" customHeight="false" outlineLevel="0" collapsed="false">
      <c r="B6" s="4" t="n">
        <v>25</v>
      </c>
      <c r="C6" s="5" t="n">
        <v>13</v>
      </c>
      <c r="D6" s="9" t="n">
        <v>362.8</v>
      </c>
      <c r="E6" s="9" t="n">
        <v>351.6</v>
      </c>
      <c r="F6" s="9" t="n">
        <v>353.5</v>
      </c>
      <c r="G6" s="9" t="n">
        <v>361</v>
      </c>
      <c r="H6" s="9" t="n">
        <v>361.4</v>
      </c>
      <c r="I6" s="9" t="n">
        <v>354.3</v>
      </c>
      <c r="J6" s="9" t="n">
        <v>364.7</v>
      </c>
      <c r="K6" s="9" t="n">
        <v>342.1</v>
      </c>
      <c r="L6" s="9" t="n">
        <v>355.7</v>
      </c>
      <c r="M6" s="9" t="n">
        <v>323.4</v>
      </c>
      <c r="N6" s="9" t="n">
        <v>341.7</v>
      </c>
      <c r="O6" s="9" t="n">
        <v>361.2</v>
      </c>
      <c r="P6" s="9" t="n">
        <v>348.1</v>
      </c>
      <c r="Q6" s="9" t="n">
        <v>365</v>
      </c>
      <c r="R6" s="9" t="n">
        <v>357.9</v>
      </c>
      <c r="S6" s="9" t="n">
        <v>365.9</v>
      </c>
      <c r="T6" s="9" t="n">
        <v>357.1</v>
      </c>
      <c r="U6" s="9" t="n">
        <v>363.2</v>
      </c>
      <c r="V6" s="9" t="n">
        <v>351.6</v>
      </c>
      <c r="W6" s="9" t="n">
        <v>362.7</v>
      </c>
      <c r="X6" s="7" t="n">
        <f aca="false">AVERAGE(D6:W6)</f>
        <v>355.245</v>
      </c>
      <c r="Y6" s="8" t="n">
        <f aca="false">_xlfn.STDEV.S(D6:W6)</f>
        <v>10.3697675454838</v>
      </c>
      <c r="Z6" s="8" t="n">
        <f aca="false">Y6/X6</f>
        <v>0.0291904672704296</v>
      </c>
    </row>
    <row r="7" customFormat="false" ht="16.75" hidden="false" customHeight="false" outlineLevel="0" collapsed="false">
      <c r="B7" s="4"/>
      <c r="C7" s="5" t="n">
        <v>25</v>
      </c>
      <c r="D7" s="9" t="n">
        <v>365.7</v>
      </c>
      <c r="E7" s="9" t="n">
        <v>364.1</v>
      </c>
      <c r="F7" s="9" t="n">
        <v>364.2</v>
      </c>
      <c r="G7" s="9" t="n">
        <v>364.5</v>
      </c>
      <c r="H7" s="9" t="n">
        <v>365.3</v>
      </c>
      <c r="I7" s="9" t="n">
        <v>362.3</v>
      </c>
      <c r="J7" s="9" t="n">
        <v>366.9</v>
      </c>
      <c r="K7" s="9" t="n">
        <v>365.5</v>
      </c>
      <c r="L7" s="9" t="n">
        <v>365.1</v>
      </c>
      <c r="M7" s="9" t="n">
        <v>362.4</v>
      </c>
      <c r="N7" s="9" t="n">
        <v>365</v>
      </c>
      <c r="O7" s="9" t="n">
        <v>364.4</v>
      </c>
      <c r="P7" s="9" t="n">
        <v>365.3</v>
      </c>
      <c r="Q7" s="9" t="n">
        <v>356.1</v>
      </c>
      <c r="R7" s="9" t="n">
        <v>364.4</v>
      </c>
      <c r="S7" s="9" t="n">
        <v>366.1</v>
      </c>
      <c r="T7" s="9" t="n">
        <v>367.5</v>
      </c>
      <c r="U7" s="9" t="n">
        <v>366.2</v>
      </c>
      <c r="V7" s="9" t="n">
        <v>366.9</v>
      </c>
      <c r="W7" s="9" t="n">
        <v>365.5</v>
      </c>
      <c r="X7" s="7" t="n">
        <f aca="false">AVERAGE(D7:W7)</f>
        <v>364.67</v>
      </c>
      <c r="Y7" s="8" t="n">
        <f aca="false">_xlfn.STDEV.S(D7:W7)</f>
        <v>2.41488803271007</v>
      </c>
      <c r="Z7" s="8" t="n">
        <f aca="false">Y7/X7</f>
        <v>0.00662211871749819</v>
      </c>
    </row>
    <row r="8" customFormat="false" ht="16.75" hidden="false" customHeight="false" outlineLevel="0" collapsed="false">
      <c r="B8" s="4"/>
      <c r="C8" s="5" t="n">
        <v>38</v>
      </c>
      <c r="D8" s="9" t="n">
        <v>358</v>
      </c>
      <c r="E8" s="9" t="n">
        <v>371.9</v>
      </c>
      <c r="F8" s="9" t="n">
        <v>361.8</v>
      </c>
      <c r="G8" s="9" t="n">
        <v>366</v>
      </c>
      <c r="H8" s="9" t="n">
        <v>363.4</v>
      </c>
      <c r="I8" s="9" t="n">
        <v>365.7</v>
      </c>
      <c r="J8" s="9" t="n">
        <v>362.1</v>
      </c>
      <c r="K8" s="9" t="n">
        <v>360</v>
      </c>
      <c r="L8" s="9" t="n">
        <v>365.3</v>
      </c>
      <c r="M8" s="9" t="n">
        <v>363.8</v>
      </c>
      <c r="N8" s="9" t="n">
        <v>363.6</v>
      </c>
      <c r="O8" s="9" t="n">
        <v>364.3</v>
      </c>
      <c r="P8" s="9" t="n">
        <v>365.2</v>
      </c>
      <c r="Q8" s="9" t="n">
        <v>364.3</v>
      </c>
      <c r="R8" s="9" t="n">
        <v>369.7</v>
      </c>
      <c r="S8" s="9" t="n">
        <v>364.8</v>
      </c>
      <c r="T8" s="9" t="n">
        <v>364.5</v>
      </c>
      <c r="U8" s="9" t="n">
        <v>356.1</v>
      </c>
      <c r="V8" s="9" t="n">
        <v>364.5</v>
      </c>
      <c r="W8" s="9" t="n">
        <v>366</v>
      </c>
      <c r="X8" s="7" t="n">
        <f aca="false">AVERAGE(D8:W8)</f>
        <v>364.05</v>
      </c>
      <c r="Y8" s="8" t="n">
        <f aca="false">_xlfn.STDEV.S(D8:W8)</f>
        <v>3.50646020338099</v>
      </c>
      <c r="Z8" s="8" t="n">
        <f aca="false">Y8/X8</f>
        <v>0.00963180937613238</v>
      </c>
    </row>
    <row r="9" customFormat="false" ht="16.75" hidden="false" customHeight="false" outlineLevel="0" collapsed="false">
      <c r="B9" s="4" t="n">
        <v>63</v>
      </c>
      <c r="C9" s="5" t="n">
        <v>31</v>
      </c>
      <c r="D9" s="9" t="n">
        <v>337.2</v>
      </c>
      <c r="E9" s="9" t="n">
        <v>290.7</v>
      </c>
      <c r="F9" s="9" t="n">
        <v>340.2</v>
      </c>
      <c r="G9" s="9" t="n">
        <v>337.1</v>
      </c>
      <c r="H9" s="9" t="n">
        <v>263.9</v>
      </c>
      <c r="I9" s="9" t="n">
        <v>340.9</v>
      </c>
      <c r="J9" s="9" t="n">
        <v>341.4</v>
      </c>
      <c r="K9" s="9" t="n">
        <v>324.9</v>
      </c>
      <c r="L9" s="9" t="n">
        <v>310</v>
      </c>
      <c r="M9" s="9" t="n">
        <v>338.8</v>
      </c>
      <c r="N9" s="9" t="n">
        <v>300.1</v>
      </c>
      <c r="O9" s="9" t="n">
        <v>313.3</v>
      </c>
      <c r="P9" s="9" t="n">
        <v>337.2</v>
      </c>
      <c r="Q9" s="9" t="n">
        <v>328.7</v>
      </c>
      <c r="R9" s="9" t="n">
        <v>295.2</v>
      </c>
      <c r="S9" s="9" t="n">
        <v>309.7</v>
      </c>
      <c r="T9" s="9" t="n">
        <v>280.3</v>
      </c>
      <c r="U9" s="9" t="n">
        <v>258.3</v>
      </c>
      <c r="V9" s="9" t="n">
        <v>338.3</v>
      </c>
      <c r="W9" s="9" t="n">
        <v>315.6</v>
      </c>
      <c r="X9" s="7" t="n">
        <f aca="false">AVERAGE(D9:W9)</f>
        <v>315.09</v>
      </c>
      <c r="Y9" s="8" t="n">
        <f aca="false">_xlfn.STDEV.S(D9:W9)</f>
        <v>26.3207322726481</v>
      </c>
      <c r="Z9" s="8" t="n">
        <f aca="false">Y9/X9</f>
        <v>0.0835340133696662</v>
      </c>
    </row>
    <row r="10" customFormat="false" ht="16.75" hidden="false" customHeight="false" outlineLevel="0" collapsed="false">
      <c r="B10" s="4"/>
      <c r="C10" s="5" t="n">
        <v>63</v>
      </c>
      <c r="D10" s="9" t="n">
        <v>337.5</v>
      </c>
      <c r="E10" s="9" t="n">
        <v>336.5</v>
      </c>
      <c r="F10" s="9" t="n">
        <v>331.3</v>
      </c>
      <c r="G10" s="9" t="n">
        <v>351.3</v>
      </c>
      <c r="H10" s="9" t="n">
        <v>323.1</v>
      </c>
      <c r="I10" s="9" t="n">
        <v>327.1</v>
      </c>
      <c r="J10" s="9" t="n">
        <v>337.2</v>
      </c>
      <c r="K10" s="9" t="n">
        <v>329.2</v>
      </c>
      <c r="L10" s="9" t="n">
        <v>322.9</v>
      </c>
      <c r="M10" s="9" t="n">
        <v>346.7</v>
      </c>
      <c r="N10" s="9" t="n">
        <v>357.1</v>
      </c>
      <c r="O10" s="9" t="n">
        <v>346</v>
      </c>
      <c r="P10" s="9" t="n">
        <v>340.2</v>
      </c>
      <c r="Q10" s="9" t="n">
        <v>360.4</v>
      </c>
      <c r="R10" s="9" t="n">
        <v>330.7</v>
      </c>
      <c r="S10" s="9" t="n">
        <v>340.2</v>
      </c>
      <c r="T10" s="9" t="n">
        <v>342.8</v>
      </c>
      <c r="U10" s="9" t="n">
        <v>354.1</v>
      </c>
      <c r="V10" s="9" t="n">
        <v>340.9</v>
      </c>
      <c r="W10" s="9" t="n">
        <v>318.1</v>
      </c>
      <c r="X10" s="7" t="n">
        <f aca="false">AVERAGE(D10:W10)</f>
        <v>338.665</v>
      </c>
      <c r="Y10" s="8" t="n">
        <f aca="false">_xlfn.STDEV.S(D10:W10)</f>
        <v>11.7389264729294</v>
      </c>
      <c r="Z10" s="8" t="n">
        <f aca="false">Y10/X10</f>
        <v>0.0346623550497671</v>
      </c>
    </row>
    <row r="11" customFormat="false" ht="16.75" hidden="false" customHeight="false" outlineLevel="0" collapsed="false">
      <c r="B11" s="4"/>
      <c r="C11" s="5" t="n">
        <v>93</v>
      </c>
      <c r="D11" s="9" t="n">
        <v>338.5</v>
      </c>
      <c r="E11" s="9" t="n">
        <v>356.1</v>
      </c>
      <c r="F11" s="9" t="n">
        <v>323.2</v>
      </c>
      <c r="G11" s="9" t="n">
        <v>321.6</v>
      </c>
      <c r="H11" s="9" t="n">
        <v>320.2</v>
      </c>
      <c r="I11" s="9" t="n">
        <v>360.9</v>
      </c>
      <c r="J11" s="9" t="n">
        <v>327.5</v>
      </c>
      <c r="K11" s="9" t="n">
        <v>359.3</v>
      </c>
      <c r="L11" s="9" t="n">
        <v>320.3</v>
      </c>
      <c r="M11" s="9" t="n">
        <v>355.9</v>
      </c>
      <c r="N11" s="9" t="n">
        <v>354.1</v>
      </c>
      <c r="O11" s="9" t="n">
        <v>342.2</v>
      </c>
      <c r="P11" s="9" t="n">
        <v>323.7</v>
      </c>
      <c r="Q11" s="9" t="n">
        <v>356.6</v>
      </c>
      <c r="R11" s="9" t="n">
        <v>358.6</v>
      </c>
      <c r="S11" s="9" t="n">
        <v>356</v>
      </c>
      <c r="T11" s="9" t="n">
        <v>338</v>
      </c>
      <c r="U11" s="9" t="n">
        <v>358.2</v>
      </c>
      <c r="V11" s="9" t="n">
        <v>358.4</v>
      </c>
      <c r="W11" s="9" t="n">
        <v>358.5</v>
      </c>
      <c r="X11" s="7" t="n">
        <f aca="false">AVERAGE(D11:W11)</f>
        <v>344.39</v>
      </c>
      <c r="Y11" s="8" t="n">
        <f aca="false">_xlfn.STDEV.S(D11:W11)</f>
        <v>15.990487303723</v>
      </c>
      <c r="Z11" s="8" t="n">
        <f aca="false">Y11/X11</f>
        <v>0.0464313345443334</v>
      </c>
    </row>
    <row r="12" customFormat="false" ht="16.75" hidden="false" customHeight="false" outlineLevel="0" collapsed="false">
      <c r="B12" s="4" t="n">
        <v>100</v>
      </c>
      <c r="C12" s="5" t="n">
        <v>25</v>
      </c>
      <c r="D12" s="9" t="n">
        <v>222.8</v>
      </c>
      <c r="E12" s="9" t="n">
        <v>267</v>
      </c>
      <c r="F12" s="9" t="n">
        <v>247.1</v>
      </c>
      <c r="G12" s="9" t="n">
        <v>177.6</v>
      </c>
      <c r="H12" s="9" t="n">
        <v>270.2</v>
      </c>
      <c r="I12" s="9" t="n">
        <v>257.4</v>
      </c>
      <c r="J12" s="9" t="n">
        <v>199.2</v>
      </c>
      <c r="K12" s="9" t="n">
        <v>234.5</v>
      </c>
      <c r="L12" s="9" t="n">
        <v>247.5</v>
      </c>
      <c r="M12" s="9" t="n">
        <v>240.1</v>
      </c>
      <c r="N12" s="9" t="n">
        <v>282.2</v>
      </c>
      <c r="O12" s="9" t="n">
        <v>233</v>
      </c>
      <c r="P12" s="9" t="n">
        <v>287.9</v>
      </c>
      <c r="Q12" s="9" t="n">
        <v>210.3</v>
      </c>
      <c r="R12" s="9" t="n">
        <v>228.6</v>
      </c>
      <c r="S12" s="9" t="n">
        <v>222.6</v>
      </c>
      <c r="T12" s="9" t="n">
        <v>263.2</v>
      </c>
      <c r="U12" s="9" t="n">
        <v>279</v>
      </c>
      <c r="V12" s="9" t="n">
        <v>182.9</v>
      </c>
      <c r="W12" s="9" t="n">
        <v>292.7</v>
      </c>
      <c r="X12" s="7" t="n">
        <f aca="false">AVERAGE(D12:W12)</f>
        <v>242.29</v>
      </c>
      <c r="Y12" s="8" t="n">
        <f aca="false">_xlfn.STDEV.S(D12:W12)</f>
        <v>33.5340188622335</v>
      </c>
      <c r="Z12" s="8" t="n">
        <f aca="false">Y12/X12</f>
        <v>0.138404469281578</v>
      </c>
    </row>
    <row r="13" customFormat="false" ht="16.75" hidden="false" customHeight="false" outlineLevel="0" collapsed="false">
      <c r="B13" s="4"/>
      <c r="C13" s="5" t="n">
        <v>38</v>
      </c>
      <c r="D13" s="9" t="n">
        <v>298.4</v>
      </c>
      <c r="E13" s="9" t="n">
        <v>304.1</v>
      </c>
      <c r="F13" s="9" t="n">
        <v>303</v>
      </c>
      <c r="G13" s="9" t="n">
        <v>305.8</v>
      </c>
      <c r="H13" s="9" t="n">
        <v>301.2</v>
      </c>
      <c r="I13" s="9" t="n">
        <v>292.7</v>
      </c>
      <c r="J13" s="9" t="n">
        <v>306.4</v>
      </c>
      <c r="K13" s="9" t="n">
        <v>300.3</v>
      </c>
      <c r="L13" s="9" t="n">
        <v>302.4</v>
      </c>
      <c r="M13" s="9" t="n">
        <v>293</v>
      </c>
      <c r="N13" s="9" t="n">
        <v>259.6</v>
      </c>
      <c r="O13" s="9" t="n">
        <v>300</v>
      </c>
      <c r="P13" s="9" t="n">
        <v>293.3</v>
      </c>
      <c r="Q13" s="9" t="n">
        <v>292.9</v>
      </c>
      <c r="R13" s="9" t="n">
        <v>304.5</v>
      </c>
      <c r="S13" s="9" t="n">
        <v>304.8</v>
      </c>
      <c r="T13" s="9" t="n">
        <v>304.5</v>
      </c>
      <c r="U13" s="9" t="n">
        <v>293</v>
      </c>
      <c r="V13" s="9" t="n">
        <v>311.2</v>
      </c>
      <c r="W13" s="9" t="n">
        <v>298.7</v>
      </c>
      <c r="X13" s="7" t="n">
        <f aca="false">AVERAGE(D13:W13)</f>
        <v>298.49</v>
      </c>
      <c r="Y13" s="8" t="n">
        <f aca="false">_xlfn.STDEV.S(D13:W13)</f>
        <v>10.5981080734649</v>
      </c>
      <c r="Z13" s="8" t="n">
        <f aca="false">Y13/X13</f>
        <v>0.0355057391318466</v>
      </c>
    </row>
    <row r="14" customFormat="false" ht="16.75" hidden="false" customHeight="false" outlineLevel="0" collapsed="false">
      <c r="B14" s="4"/>
      <c r="C14" s="5" t="n">
        <v>50</v>
      </c>
      <c r="D14" s="9" t="n">
        <v>307.4</v>
      </c>
      <c r="E14" s="9" t="n">
        <v>303.1</v>
      </c>
      <c r="F14" s="9" t="n">
        <v>310.1</v>
      </c>
      <c r="G14" s="9" t="n">
        <v>302.9</v>
      </c>
      <c r="H14" s="9" t="n">
        <v>304.8</v>
      </c>
      <c r="I14" s="9" t="n">
        <v>309.8</v>
      </c>
      <c r="J14" s="9" t="n">
        <v>303.1</v>
      </c>
      <c r="K14" s="9" t="n">
        <v>318.3</v>
      </c>
      <c r="L14" s="9" t="n">
        <v>317.2</v>
      </c>
      <c r="M14" s="9" t="n">
        <v>322.9</v>
      </c>
      <c r="N14" s="9" t="n">
        <v>323.4</v>
      </c>
      <c r="O14" s="9" t="n">
        <v>299.5</v>
      </c>
      <c r="P14" s="9" t="n">
        <v>315.9</v>
      </c>
      <c r="Q14" s="9" t="n">
        <v>303</v>
      </c>
      <c r="R14" s="9" t="n">
        <v>316.3</v>
      </c>
      <c r="S14" s="9" t="n">
        <v>311.6</v>
      </c>
      <c r="T14" s="9" t="n">
        <v>307.9</v>
      </c>
      <c r="U14" s="9" t="n">
        <v>310</v>
      </c>
      <c r="V14" s="9" t="n">
        <v>312.2</v>
      </c>
      <c r="W14" s="9" t="n">
        <v>313.5</v>
      </c>
      <c r="X14" s="7" t="n">
        <f aca="false">AVERAGE(D14:W14)</f>
        <v>310.645</v>
      </c>
      <c r="Y14" s="8" t="n">
        <f aca="false">_xlfn.STDEV.S(D14:W14)</f>
        <v>6.86589396946967</v>
      </c>
      <c r="Z14" s="8" t="n">
        <f aca="false">Y14/X14</f>
        <v>0.0221020585216877</v>
      </c>
    </row>
    <row r="15" customFormat="false" ht="16.75" hidden="false" customHeight="false" outlineLevel="0" collapsed="false">
      <c r="B15" s="4"/>
      <c r="C15" s="5" t="n">
        <v>75</v>
      </c>
      <c r="D15" s="9" t="n">
        <v>307.5</v>
      </c>
      <c r="E15" s="9" t="n">
        <v>302.2</v>
      </c>
      <c r="F15" s="9" t="n">
        <v>306.4</v>
      </c>
      <c r="G15" s="9" t="n">
        <v>300.1</v>
      </c>
      <c r="H15" s="9" t="n">
        <v>314.6</v>
      </c>
      <c r="I15" s="9" t="n">
        <v>284.5</v>
      </c>
      <c r="J15" s="9" t="n">
        <v>327.2</v>
      </c>
      <c r="K15" s="9" t="n">
        <v>307.1</v>
      </c>
      <c r="L15" s="9" t="n">
        <v>291.2</v>
      </c>
      <c r="M15" s="9" t="n">
        <v>312.3</v>
      </c>
      <c r="N15" s="9" t="n">
        <v>316.7</v>
      </c>
      <c r="O15" s="9" t="n">
        <v>315.4</v>
      </c>
      <c r="P15" s="9" t="n">
        <v>310.3</v>
      </c>
      <c r="Q15" s="9" t="n">
        <v>336.6</v>
      </c>
      <c r="R15" s="9" t="n">
        <v>312.2</v>
      </c>
      <c r="S15" s="9" t="n">
        <v>318.3</v>
      </c>
      <c r="T15" s="9" t="n">
        <v>313.1</v>
      </c>
      <c r="U15" s="9" t="n">
        <v>331.2</v>
      </c>
      <c r="V15" s="9" t="n">
        <v>316.6</v>
      </c>
      <c r="W15" s="9" t="n">
        <v>298.7</v>
      </c>
      <c r="X15" s="7" t="n">
        <f aca="false">AVERAGE(D15:W15)</f>
        <v>311.11</v>
      </c>
      <c r="Y15" s="8" t="n">
        <f aca="false">_xlfn.STDEV.S(D15:W15)</f>
        <v>12.5100759390181</v>
      </c>
      <c r="Z15" s="8" t="n">
        <f aca="false">Y15/X15</f>
        <v>0.0402111019864939</v>
      </c>
    </row>
    <row r="16" customFormat="false" ht="16.75" hidden="false" customHeight="false" outlineLevel="0" collapsed="false">
      <c r="B16" s="4"/>
      <c r="C16" s="5" t="n">
        <v>100</v>
      </c>
      <c r="D16" s="9" t="n">
        <v>324.3</v>
      </c>
      <c r="E16" s="9" t="n">
        <v>313.9</v>
      </c>
      <c r="F16" s="9" t="n">
        <v>318.2</v>
      </c>
      <c r="G16" s="9" t="n">
        <v>312.7</v>
      </c>
      <c r="H16" s="9" t="n">
        <v>295.4</v>
      </c>
      <c r="I16" s="9" t="n">
        <v>303.9</v>
      </c>
      <c r="J16" s="9" t="n">
        <v>279.1</v>
      </c>
      <c r="K16" s="9" t="n">
        <v>333.2</v>
      </c>
      <c r="L16" s="9" t="n">
        <v>319.1</v>
      </c>
      <c r="M16" s="9" t="n">
        <v>310.9</v>
      </c>
      <c r="N16" s="9" t="n">
        <v>314.5</v>
      </c>
      <c r="O16" s="9" t="n">
        <v>327.1</v>
      </c>
      <c r="P16" s="9" t="n">
        <v>318.5</v>
      </c>
      <c r="Q16" s="9" t="n">
        <v>320.7</v>
      </c>
      <c r="R16" s="9" t="n">
        <v>323.9</v>
      </c>
      <c r="S16" s="9" t="n">
        <v>289.7</v>
      </c>
      <c r="T16" s="9" t="n">
        <v>309.3</v>
      </c>
      <c r="U16" s="9" t="n">
        <v>275.5</v>
      </c>
      <c r="V16" s="9" t="n">
        <v>322.2</v>
      </c>
      <c r="W16" s="9" t="n">
        <v>310.7</v>
      </c>
      <c r="X16" s="7" t="n">
        <f aca="false">AVERAGE(D16:W16)</f>
        <v>311.14</v>
      </c>
      <c r="Y16" s="8" t="n">
        <f aca="false">_xlfn.STDEV.S(D16:W16)</f>
        <v>15.4580042287755</v>
      </c>
      <c r="Z16" s="8" t="n">
        <f aca="false">Y16/X16</f>
        <v>0.0496818288512423</v>
      </c>
    </row>
    <row r="17" customFormat="false" ht="16.75" hidden="false" customHeight="false" outlineLevel="0" collapsed="false">
      <c r="B17" s="4"/>
      <c r="C17" s="5" t="n">
        <v>150</v>
      </c>
      <c r="D17" s="9" t="n">
        <v>245.9</v>
      </c>
      <c r="E17" s="9" t="n">
        <v>330.6</v>
      </c>
      <c r="F17" s="9" t="n">
        <v>254.7</v>
      </c>
      <c r="G17" s="9" t="n">
        <v>297.4</v>
      </c>
      <c r="H17" s="9" t="n">
        <v>284.6</v>
      </c>
      <c r="I17" s="9" t="n">
        <v>335.3</v>
      </c>
      <c r="J17" s="9" t="n">
        <v>314.7</v>
      </c>
      <c r="K17" s="9" t="n">
        <v>315.8</v>
      </c>
      <c r="L17" s="9" t="n">
        <v>336.6</v>
      </c>
      <c r="M17" s="9" t="n">
        <v>288.7</v>
      </c>
      <c r="N17" s="9" t="n">
        <v>250.8</v>
      </c>
      <c r="O17" s="9" t="n">
        <v>316.1</v>
      </c>
      <c r="P17" s="9" t="n">
        <v>286.3</v>
      </c>
      <c r="Q17" s="9" t="n">
        <v>330.2</v>
      </c>
      <c r="R17" s="9" t="n">
        <v>326.3</v>
      </c>
      <c r="S17" s="9" t="n">
        <v>246</v>
      </c>
      <c r="T17" s="9" t="n">
        <v>243.8</v>
      </c>
      <c r="U17" s="9" t="n">
        <v>250.2</v>
      </c>
      <c r="V17" s="9" t="n">
        <v>295.4</v>
      </c>
      <c r="W17" s="9" t="n">
        <v>265.4</v>
      </c>
      <c r="X17" s="7" t="n">
        <f aca="false">AVERAGE(D17:W17)</f>
        <v>290.74</v>
      </c>
      <c r="Y17" s="8" t="n">
        <f aca="false">_xlfn.STDEV.S(D17:W17)</f>
        <v>33.9251249852253</v>
      </c>
      <c r="Z17" s="8" t="n">
        <f aca="false">Y17/X17</f>
        <v>0.116685440549031</v>
      </c>
    </row>
    <row r="21" customFormat="false" ht="15" hidden="false" customHeight="false" outlineLevel="0" collapsed="false">
      <c r="A21" s="1" t="s">
        <v>0</v>
      </c>
      <c r="B21" s="1"/>
      <c r="C21" s="1"/>
    </row>
    <row r="22" customFormat="false" ht="15" hidden="false" customHeight="false" outlineLevel="0" collapsed="false">
      <c r="A22" s="1"/>
      <c r="B22" s="1"/>
      <c r="C22" s="1"/>
      <c r="D22" s="2" t="s">
        <v>30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1"/>
      <c r="B23" s="1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29.85" hidden="false" customHeight="false" outlineLevel="0" collapsed="false">
      <c r="B25" s="3" t="s">
        <v>2</v>
      </c>
      <c r="C25" s="3" t="s">
        <v>3</v>
      </c>
      <c r="D25" s="3" t="s">
        <v>4</v>
      </c>
      <c r="E25" s="3" t="s">
        <v>5</v>
      </c>
      <c r="F25" s="3" t="s">
        <v>6</v>
      </c>
      <c r="G25" s="3" t="s">
        <v>7</v>
      </c>
      <c r="H25" s="3" t="s">
        <v>8</v>
      </c>
      <c r="I25" s="3" t="s">
        <v>9</v>
      </c>
      <c r="J25" s="3" t="s">
        <v>10</v>
      </c>
      <c r="K25" s="3" t="s">
        <v>11</v>
      </c>
      <c r="L25" s="3" t="s">
        <v>12</v>
      </c>
      <c r="M25" s="3" t="s">
        <v>13</v>
      </c>
      <c r="N25" s="3" t="s">
        <v>14</v>
      </c>
      <c r="O25" s="3" t="s">
        <v>15</v>
      </c>
      <c r="P25" s="3" t="s">
        <v>16</v>
      </c>
      <c r="Q25" s="3" t="s">
        <v>17</v>
      </c>
      <c r="R25" s="3" t="s">
        <v>18</v>
      </c>
      <c r="S25" s="3" t="s">
        <v>19</v>
      </c>
      <c r="T25" s="3" t="s">
        <v>20</v>
      </c>
      <c r="U25" s="3" t="s">
        <v>21</v>
      </c>
      <c r="V25" s="3" t="s">
        <v>22</v>
      </c>
      <c r="W25" s="3" t="s">
        <v>23</v>
      </c>
      <c r="X25" s="3" t="s">
        <v>24</v>
      </c>
      <c r="Y25" s="3" t="s">
        <v>25</v>
      </c>
      <c r="Z25" s="3" t="s">
        <v>26</v>
      </c>
      <c r="AC25" s="3"/>
      <c r="AD25" s="3"/>
      <c r="AE25" s="3"/>
    </row>
    <row r="26" customFormat="false" ht="18" hidden="false" customHeight="true" outlineLevel="0" collapsed="false">
      <c r="B26" s="4" t="n">
        <v>25</v>
      </c>
      <c r="C26" s="5" t="n">
        <v>13</v>
      </c>
      <c r="D26" s="9" t="n">
        <v>366.7</v>
      </c>
      <c r="E26" s="9" t="n">
        <v>366.7</v>
      </c>
      <c r="F26" s="9" t="n">
        <v>366.1</v>
      </c>
      <c r="G26" s="9" t="n">
        <v>367</v>
      </c>
      <c r="H26" s="9" t="n">
        <v>365</v>
      </c>
      <c r="I26" s="9" t="n">
        <v>370</v>
      </c>
      <c r="J26" s="9" t="n">
        <v>366</v>
      </c>
      <c r="K26" s="9" t="n">
        <v>371.2</v>
      </c>
      <c r="L26" s="9" t="n">
        <v>365.8</v>
      </c>
      <c r="M26" s="9" t="n">
        <v>365</v>
      </c>
      <c r="N26" s="9" t="n">
        <v>362.7</v>
      </c>
      <c r="O26" s="9" t="n">
        <v>367.2</v>
      </c>
      <c r="P26" s="9" t="n">
        <v>362.7</v>
      </c>
      <c r="Q26" s="9" t="n">
        <v>367.8</v>
      </c>
      <c r="R26" s="9" t="n">
        <v>367.3</v>
      </c>
      <c r="S26" s="9" t="n">
        <v>367.5</v>
      </c>
      <c r="T26" s="9" t="n">
        <v>366.7</v>
      </c>
      <c r="U26" s="9" t="n">
        <v>368.2</v>
      </c>
      <c r="V26" s="9" t="n">
        <v>367.7</v>
      </c>
      <c r="W26" s="9" t="n">
        <v>368.4</v>
      </c>
      <c r="X26" s="7" t="n">
        <f aca="false">AVERAGE(D26:W26)</f>
        <v>366.785</v>
      </c>
      <c r="Y26" s="8" t="n">
        <f aca="false">_xlfn.STDEV.S(D26:W26)</f>
        <v>2.04071066052981</v>
      </c>
      <c r="Z26" s="8" t="n">
        <f aca="false">Y26/X26</f>
        <v>0.00556377894551251</v>
      </c>
      <c r="AC26" s="7"/>
      <c r="AD26" s="8"/>
      <c r="AE26" s="8"/>
    </row>
    <row r="27" customFormat="false" ht="18" hidden="false" customHeight="true" outlineLevel="0" collapsed="false">
      <c r="B27" s="4"/>
      <c r="C27" s="5" t="n">
        <v>25</v>
      </c>
      <c r="D27" s="9" t="n">
        <v>370.1</v>
      </c>
      <c r="E27" s="9" t="n">
        <v>365.4</v>
      </c>
      <c r="F27" s="9" t="n">
        <v>370.8</v>
      </c>
      <c r="G27" s="9" t="n">
        <v>370.4</v>
      </c>
      <c r="H27" s="9" t="n">
        <v>370.8</v>
      </c>
      <c r="I27" s="9" t="n">
        <v>369.5</v>
      </c>
      <c r="J27" s="9" t="n">
        <v>370.6</v>
      </c>
      <c r="K27" s="9" t="n">
        <v>368.2</v>
      </c>
      <c r="L27" s="9" t="n">
        <v>368.9</v>
      </c>
      <c r="M27" s="9" t="n">
        <v>364.7</v>
      </c>
      <c r="N27" s="9" t="n">
        <v>369.8</v>
      </c>
      <c r="O27" s="9" t="n">
        <v>368.8</v>
      </c>
      <c r="P27" s="9" t="n">
        <v>367.8</v>
      </c>
      <c r="Q27" s="9" t="n">
        <v>370.4</v>
      </c>
      <c r="R27" s="9" t="n">
        <v>369.5</v>
      </c>
      <c r="S27" s="9" t="n">
        <v>368.3</v>
      </c>
      <c r="T27" s="9" t="n">
        <v>367.6</v>
      </c>
      <c r="U27" s="9" t="n">
        <v>369.9</v>
      </c>
      <c r="V27" s="9" t="n">
        <v>369.4</v>
      </c>
      <c r="W27" s="9" t="n">
        <v>365.6</v>
      </c>
      <c r="X27" s="7" t="n">
        <f aca="false">AVERAGE(D27:W27)</f>
        <v>368.825</v>
      </c>
      <c r="Y27" s="8" t="n">
        <f aca="false">_xlfn.STDEV.S(D27:W27)</f>
        <v>1.82464848813769</v>
      </c>
      <c r="Z27" s="8" t="n">
        <f aca="false">Y27/X27</f>
        <v>0.00494719308110267</v>
      </c>
      <c r="AC27" s="7"/>
      <c r="AD27" s="8"/>
      <c r="AE27" s="8"/>
    </row>
    <row r="28" customFormat="false" ht="18" hidden="false" customHeight="true" outlineLevel="0" collapsed="false">
      <c r="B28" s="4"/>
      <c r="C28" s="5" t="n">
        <v>38</v>
      </c>
      <c r="D28" s="9" t="n">
        <v>368.9</v>
      </c>
      <c r="E28" s="9" t="n">
        <v>370</v>
      </c>
      <c r="F28" s="9" t="n">
        <v>366.6</v>
      </c>
      <c r="G28" s="9" t="n">
        <v>369.8</v>
      </c>
      <c r="H28" s="9" t="n">
        <v>373.4</v>
      </c>
      <c r="I28" s="9" t="n">
        <v>369.6</v>
      </c>
      <c r="J28" s="9" t="n">
        <v>368.7</v>
      </c>
      <c r="K28" s="9" t="n">
        <v>370.9</v>
      </c>
      <c r="L28" s="9" t="n">
        <v>365.1</v>
      </c>
      <c r="M28" s="9" t="n">
        <v>367.4</v>
      </c>
      <c r="N28" s="9" t="n">
        <v>368.7</v>
      </c>
      <c r="O28" s="9" t="n">
        <v>368.6</v>
      </c>
      <c r="P28" s="9" t="n">
        <v>369.4</v>
      </c>
      <c r="Q28" s="9" t="n">
        <v>372.2</v>
      </c>
      <c r="R28" s="9" t="n">
        <v>370</v>
      </c>
      <c r="S28" s="9" t="n">
        <v>371.5</v>
      </c>
      <c r="T28" s="9" t="n">
        <v>367.2</v>
      </c>
      <c r="U28" s="9" t="n">
        <v>368</v>
      </c>
      <c r="V28" s="9" t="n">
        <v>371.1</v>
      </c>
      <c r="W28" s="9" t="n">
        <v>367.1</v>
      </c>
      <c r="X28" s="7" t="n">
        <f aca="false">AVERAGE(D28:W28)</f>
        <v>369.21</v>
      </c>
      <c r="Y28" s="8" t="n">
        <f aca="false">_xlfn.STDEV.S(D28:W28)</f>
        <v>2.02455973121643</v>
      </c>
      <c r="Z28" s="8" t="n">
        <f aca="false">Y28/X28</f>
        <v>0.00548349105174948</v>
      </c>
      <c r="AC28" s="7"/>
      <c r="AD28" s="8"/>
      <c r="AE28" s="8"/>
    </row>
    <row r="29" customFormat="false" ht="16.75" hidden="false" customHeight="false" outlineLevel="0" collapsed="false">
      <c r="B29" s="4" t="n">
        <v>63</v>
      </c>
      <c r="C29" s="5" t="n">
        <v>31</v>
      </c>
      <c r="D29" s="9" t="n">
        <v>346.8</v>
      </c>
      <c r="E29" s="9" t="n">
        <v>357.4</v>
      </c>
      <c r="F29" s="9" t="n">
        <v>353.6</v>
      </c>
      <c r="G29" s="9" t="n">
        <v>350.6</v>
      </c>
      <c r="H29" s="9" t="n">
        <v>358.1</v>
      </c>
      <c r="I29" s="9" t="n">
        <v>359.1</v>
      </c>
      <c r="J29" s="9" t="n">
        <v>357.6</v>
      </c>
      <c r="K29" s="9" t="n">
        <v>356.1</v>
      </c>
      <c r="L29" s="9" t="n">
        <v>358</v>
      </c>
      <c r="M29" s="9" t="n">
        <v>355.7</v>
      </c>
      <c r="N29" s="9" t="n">
        <v>345.2</v>
      </c>
      <c r="O29" s="9" t="n">
        <v>357.2</v>
      </c>
      <c r="P29" s="9" t="n">
        <v>354.4</v>
      </c>
      <c r="Q29" s="9" t="n">
        <v>351.2</v>
      </c>
      <c r="R29" s="9" t="n">
        <v>356.9</v>
      </c>
      <c r="S29" s="9" t="n">
        <v>356.6</v>
      </c>
      <c r="T29" s="9" t="n">
        <v>358.4</v>
      </c>
      <c r="U29" s="9" t="n">
        <v>355</v>
      </c>
      <c r="V29" s="9" t="n">
        <v>349.9</v>
      </c>
      <c r="W29" s="9" t="n">
        <v>355.4</v>
      </c>
      <c r="X29" s="7" t="n">
        <f aca="false">AVERAGE(D29:W29)</f>
        <v>354.66</v>
      </c>
      <c r="Y29" s="8" t="n">
        <f aca="false">_xlfn.STDEV.S(D29:W29)</f>
        <v>3.94346895111665</v>
      </c>
      <c r="Z29" s="8" t="n">
        <f aca="false">Y29/X29</f>
        <v>0.0111190124375928</v>
      </c>
      <c r="AC29" s="7"/>
      <c r="AD29" s="8"/>
      <c r="AE29" s="8"/>
    </row>
    <row r="30" customFormat="false" ht="16.75" hidden="false" customHeight="false" outlineLevel="0" collapsed="false">
      <c r="B30" s="4"/>
      <c r="C30" s="5" t="n">
        <v>63</v>
      </c>
      <c r="D30" s="9" t="n">
        <v>362.2</v>
      </c>
      <c r="E30" s="9" t="n">
        <v>364.6</v>
      </c>
      <c r="F30" s="9" t="n">
        <v>363.2</v>
      </c>
      <c r="G30" s="9" t="n">
        <v>362</v>
      </c>
      <c r="H30" s="9" t="n">
        <v>366.6</v>
      </c>
      <c r="I30" s="9" t="n">
        <v>363.9</v>
      </c>
      <c r="J30" s="9" t="n">
        <v>364.9</v>
      </c>
      <c r="K30" s="9" t="n">
        <v>362.9</v>
      </c>
      <c r="L30" s="9" t="n">
        <v>365.5</v>
      </c>
      <c r="M30" s="9" t="n">
        <v>360.8</v>
      </c>
      <c r="N30" s="9" t="n">
        <v>362.1</v>
      </c>
      <c r="O30" s="9" t="n">
        <v>363.3</v>
      </c>
      <c r="P30" s="9" t="n">
        <v>361.5</v>
      </c>
      <c r="Q30" s="9" t="n">
        <v>364.2</v>
      </c>
      <c r="R30" s="9" t="n">
        <v>363.8</v>
      </c>
      <c r="S30" s="9" t="n">
        <v>364.1</v>
      </c>
      <c r="T30" s="9" t="n">
        <v>361.9</v>
      </c>
      <c r="U30" s="9" t="n">
        <v>360.6</v>
      </c>
      <c r="V30" s="9" t="n">
        <v>361.5</v>
      </c>
      <c r="W30" s="9" t="n">
        <v>363.4</v>
      </c>
      <c r="X30" s="7" t="n">
        <f aca="false">AVERAGE(D30:W30)</f>
        <v>363.15</v>
      </c>
      <c r="Y30" s="8" t="n">
        <f aca="false">_xlfn.STDEV.S(D30:W30)</f>
        <v>1.59092822954995</v>
      </c>
      <c r="Z30" s="8" t="n">
        <f aca="false">Y30/X30</f>
        <v>0.00438091210119772</v>
      </c>
      <c r="AC30" s="7"/>
      <c r="AD30" s="8"/>
      <c r="AE30" s="8"/>
    </row>
    <row r="31" customFormat="false" ht="16.75" hidden="false" customHeight="false" outlineLevel="0" collapsed="false">
      <c r="B31" s="4"/>
      <c r="C31" s="5" t="n">
        <v>93</v>
      </c>
      <c r="D31" s="9" t="n">
        <v>367.4</v>
      </c>
      <c r="E31" s="9" t="n">
        <v>365.8</v>
      </c>
      <c r="F31" s="9" t="n">
        <v>368.6</v>
      </c>
      <c r="G31" s="9" t="n">
        <v>366.8</v>
      </c>
      <c r="H31" s="9" t="n">
        <v>365.2</v>
      </c>
      <c r="I31" s="9" t="n">
        <v>371.2</v>
      </c>
      <c r="J31" s="9" t="n">
        <v>368.2</v>
      </c>
      <c r="K31" s="9" t="n">
        <v>368.5</v>
      </c>
      <c r="L31" s="9" t="n">
        <v>364.9</v>
      </c>
      <c r="M31" s="9" t="n">
        <v>370.7</v>
      </c>
      <c r="N31" s="9" t="n">
        <v>365.5</v>
      </c>
      <c r="O31" s="9" t="n">
        <v>369.3</v>
      </c>
      <c r="P31" s="9" t="n">
        <v>364.3</v>
      </c>
      <c r="Q31" s="9" t="n">
        <v>367.5</v>
      </c>
      <c r="R31" s="9" t="n">
        <v>369.7</v>
      </c>
      <c r="S31" s="9" t="n">
        <v>366.7</v>
      </c>
      <c r="T31" s="9" t="n">
        <v>367.7</v>
      </c>
      <c r="U31" s="9" t="n">
        <v>369.7</v>
      </c>
      <c r="V31" s="9" t="n">
        <v>365.2</v>
      </c>
      <c r="W31" s="9" t="n">
        <v>369.3</v>
      </c>
      <c r="X31" s="7" t="n">
        <f aca="false">AVERAGE(D31:W31)</f>
        <v>367.61</v>
      </c>
      <c r="Y31" s="8" t="n">
        <f aca="false">_xlfn.STDEV.S(D31:W31)</f>
        <v>2.02871491603091</v>
      </c>
      <c r="Z31" s="8" t="n">
        <f aca="false">Y31/X31</f>
        <v>0.00551866085261803</v>
      </c>
      <c r="AC31" s="7"/>
      <c r="AD31" s="8"/>
      <c r="AE31" s="8"/>
    </row>
    <row r="32" customFormat="false" ht="16.75" hidden="false" customHeight="false" outlineLevel="0" collapsed="false">
      <c r="B32" s="4" t="n">
        <v>100</v>
      </c>
      <c r="C32" s="5" t="n">
        <v>25</v>
      </c>
      <c r="D32" s="9" t="n">
        <v>293.9</v>
      </c>
      <c r="E32" s="9" t="n">
        <v>300.2</v>
      </c>
      <c r="F32" s="9" t="n">
        <v>284.7</v>
      </c>
      <c r="G32" s="9" t="n">
        <v>295.8</v>
      </c>
      <c r="H32" s="9" t="n">
        <v>287.5</v>
      </c>
      <c r="I32" s="9" t="n">
        <v>302.6</v>
      </c>
      <c r="J32" s="9" t="n">
        <v>268.2</v>
      </c>
      <c r="K32" s="9" t="n">
        <v>296.1</v>
      </c>
      <c r="L32" s="9" t="n">
        <v>294.8</v>
      </c>
      <c r="M32" s="9" t="n">
        <v>299.5</v>
      </c>
      <c r="N32" s="9" t="n">
        <v>291.9</v>
      </c>
      <c r="O32" s="9" t="n">
        <v>301.3</v>
      </c>
      <c r="P32" s="9" t="n">
        <v>290</v>
      </c>
      <c r="Q32" s="9" t="n">
        <v>280.6</v>
      </c>
      <c r="R32" s="9" t="n">
        <v>304.4</v>
      </c>
      <c r="S32" s="9" t="n">
        <v>292.6</v>
      </c>
      <c r="T32" s="9" t="n">
        <v>306.8</v>
      </c>
      <c r="U32" s="9" t="n">
        <v>282.9</v>
      </c>
      <c r="V32" s="9" t="n">
        <v>289.8</v>
      </c>
      <c r="W32" s="9" t="n">
        <v>285.6</v>
      </c>
      <c r="X32" s="7" t="n">
        <f aca="false">AVERAGE(D32:W32)</f>
        <v>292.46</v>
      </c>
      <c r="Y32" s="8" t="n">
        <f aca="false">_xlfn.STDEV.S(D32:W32)</f>
        <v>9.28078944010578</v>
      </c>
      <c r="Z32" s="8" t="n">
        <f aca="false">Y32/X32</f>
        <v>0.0317335342956499</v>
      </c>
      <c r="AC32" s="7"/>
      <c r="AD32" s="8"/>
      <c r="AE32" s="8"/>
    </row>
    <row r="33" customFormat="false" ht="16.75" hidden="false" customHeight="false" outlineLevel="0" collapsed="false">
      <c r="B33" s="4"/>
      <c r="C33" s="5" t="n">
        <v>38</v>
      </c>
      <c r="D33" s="9" t="n">
        <v>323.2</v>
      </c>
      <c r="E33" s="9" t="n">
        <v>318.7</v>
      </c>
      <c r="F33" s="9" t="n">
        <v>321.4</v>
      </c>
      <c r="G33" s="9" t="n">
        <v>311.9</v>
      </c>
      <c r="H33" s="9" t="n">
        <v>312.7</v>
      </c>
      <c r="I33" s="9" t="n">
        <v>308.9</v>
      </c>
      <c r="J33" s="9" t="n">
        <v>293.4</v>
      </c>
      <c r="K33" s="9" t="n">
        <v>302.9</v>
      </c>
      <c r="L33" s="9" t="n">
        <v>297.3</v>
      </c>
      <c r="M33" s="9" t="n">
        <v>313.8</v>
      </c>
      <c r="N33" s="9" t="n">
        <v>318.9</v>
      </c>
      <c r="O33" s="9" t="n">
        <v>296.3</v>
      </c>
      <c r="P33" s="9" t="n">
        <v>323</v>
      </c>
      <c r="Q33" s="9" t="n">
        <v>316.8</v>
      </c>
      <c r="R33" s="9" t="n">
        <v>321.1</v>
      </c>
      <c r="S33" s="9" t="n">
        <v>314.4</v>
      </c>
      <c r="T33" s="9" t="n">
        <v>317.4</v>
      </c>
      <c r="U33" s="9" t="n">
        <v>321.9</v>
      </c>
      <c r="V33" s="9" t="n">
        <v>315.2</v>
      </c>
      <c r="W33" s="9" t="n">
        <v>291.5</v>
      </c>
      <c r="X33" s="7" t="n">
        <f aca="false">AVERAGE(D33:W33)</f>
        <v>312.035</v>
      </c>
      <c r="Y33" s="8" t="n">
        <f aca="false">_xlfn.STDEV.S(D33:W33)</f>
        <v>10.2629776637346</v>
      </c>
      <c r="Z33" s="8" t="n">
        <f aca="false">Y33/X33</f>
        <v>0.0328904695426302</v>
      </c>
      <c r="AC33" s="7"/>
      <c r="AD33" s="8"/>
      <c r="AE33" s="8"/>
    </row>
    <row r="34" customFormat="false" ht="16.75" hidden="false" customHeight="false" outlineLevel="0" collapsed="false">
      <c r="B34" s="4"/>
      <c r="C34" s="5" t="n">
        <v>50</v>
      </c>
      <c r="D34" s="9" t="n">
        <v>328.2</v>
      </c>
      <c r="E34" s="9" t="n">
        <v>326.5</v>
      </c>
      <c r="F34" s="9" t="n">
        <v>322.5</v>
      </c>
      <c r="G34" s="9" t="n">
        <v>331.4</v>
      </c>
      <c r="H34" s="9" t="n">
        <v>329.1</v>
      </c>
      <c r="I34" s="9" t="n">
        <v>324.9</v>
      </c>
      <c r="J34" s="9" t="n">
        <v>330.2</v>
      </c>
      <c r="K34" s="9" t="n">
        <v>319.8</v>
      </c>
      <c r="L34" s="9" t="n">
        <v>329.7</v>
      </c>
      <c r="M34" s="9" t="n">
        <v>324.8</v>
      </c>
      <c r="N34" s="9" t="n">
        <v>322.3</v>
      </c>
      <c r="O34" s="9" t="n">
        <v>329.3</v>
      </c>
      <c r="P34" s="9" t="n">
        <v>325</v>
      </c>
      <c r="Q34" s="9" t="n">
        <v>328.2</v>
      </c>
      <c r="R34" s="9" t="n">
        <v>327.3</v>
      </c>
      <c r="S34" s="9" t="n">
        <v>322.6</v>
      </c>
      <c r="T34" s="9" t="n">
        <v>332.3</v>
      </c>
      <c r="U34" s="9" t="n">
        <v>319.3</v>
      </c>
      <c r="V34" s="9" t="n">
        <v>327.3</v>
      </c>
      <c r="W34" s="9" t="n">
        <v>324.4</v>
      </c>
      <c r="X34" s="7" t="n">
        <f aca="false">AVERAGE(D34:W34)</f>
        <v>326.255</v>
      </c>
      <c r="Y34" s="8" t="n">
        <f aca="false">_xlfn.STDEV.S(D34:W34)</f>
        <v>3.69729275067724</v>
      </c>
      <c r="Z34" s="8" t="n">
        <f aca="false">Y34/X34</f>
        <v>0.011332524407832</v>
      </c>
      <c r="AC34" s="7"/>
      <c r="AD34" s="8"/>
      <c r="AE34" s="8"/>
    </row>
    <row r="35" customFormat="false" ht="16.75" hidden="false" customHeight="false" outlineLevel="0" collapsed="false">
      <c r="B35" s="4"/>
      <c r="C35" s="5" t="n">
        <v>75</v>
      </c>
      <c r="D35" s="9" t="n">
        <v>321</v>
      </c>
      <c r="E35" s="9" t="n">
        <v>330</v>
      </c>
      <c r="F35" s="9" t="n">
        <v>333</v>
      </c>
      <c r="G35" s="9" t="n">
        <v>321.7</v>
      </c>
      <c r="H35" s="9" t="n">
        <v>324.5</v>
      </c>
      <c r="I35" s="9" t="n">
        <v>330</v>
      </c>
      <c r="J35" s="9" t="n">
        <v>329.2</v>
      </c>
      <c r="K35" s="9" t="n">
        <v>329.9</v>
      </c>
      <c r="L35" s="9" t="n">
        <v>328</v>
      </c>
      <c r="M35" s="9" t="n">
        <v>327.1</v>
      </c>
      <c r="N35" s="9" t="n">
        <v>331.2</v>
      </c>
      <c r="O35" s="9" t="n">
        <v>327.5</v>
      </c>
      <c r="P35" s="9" t="n">
        <v>327.4</v>
      </c>
      <c r="Q35" s="9" t="n">
        <v>322.3</v>
      </c>
      <c r="R35" s="9" t="n">
        <v>337.7</v>
      </c>
      <c r="S35" s="9" t="n">
        <v>334.4</v>
      </c>
      <c r="T35" s="9" t="n">
        <v>326.9</v>
      </c>
      <c r="U35" s="9" t="n">
        <v>331.3</v>
      </c>
      <c r="V35" s="9" t="n">
        <v>329.5</v>
      </c>
      <c r="W35" s="9" t="n">
        <v>328.6</v>
      </c>
      <c r="X35" s="7" t="n">
        <f aca="false">AVERAGE(D35:W35)</f>
        <v>328.56</v>
      </c>
      <c r="Y35" s="8" t="n">
        <f aca="false">_xlfn.STDEV.S(D35:W35)</f>
        <v>4.1461967353734</v>
      </c>
      <c r="Z35" s="8" t="n">
        <f aca="false">Y35/X35</f>
        <v>0.0126192985615212</v>
      </c>
      <c r="AC35" s="7"/>
      <c r="AD35" s="8"/>
      <c r="AE35" s="8"/>
    </row>
    <row r="36" customFormat="false" ht="16.75" hidden="false" customHeight="false" outlineLevel="0" collapsed="false">
      <c r="B36" s="4"/>
      <c r="C36" s="5" t="n">
        <v>100</v>
      </c>
      <c r="D36" s="9" t="n">
        <v>337.1</v>
      </c>
      <c r="E36" s="9" t="n">
        <v>336.8</v>
      </c>
      <c r="F36" s="9" t="n">
        <v>333.2</v>
      </c>
      <c r="G36" s="9" t="n">
        <v>337.6</v>
      </c>
      <c r="H36" s="9" t="n">
        <v>334.2</v>
      </c>
      <c r="I36" s="9" t="n">
        <v>332.2</v>
      </c>
      <c r="J36" s="9" t="n">
        <v>334</v>
      </c>
      <c r="K36" s="9" t="n">
        <v>332.6</v>
      </c>
      <c r="L36" s="9" t="n">
        <v>338.8</v>
      </c>
      <c r="M36" s="9" t="n">
        <v>327.2</v>
      </c>
      <c r="N36" s="9" t="n">
        <v>336.5</v>
      </c>
      <c r="O36" s="9" t="n">
        <v>342.8</v>
      </c>
      <c r="P36" s="9" t="n">
        <v>336.1</v>
      </c>
      <c r="Q36" s="9" t="n">
        <v>331.5</v>
      </c>
      <c r="R36" s="9" t="n">
        <v>334.4</v>
      </c>
      <c r="S36" s="9" t="n">
        <v>337</v>
      </c>
      <c r="T36" s="9" t="n">
        <v>336.9</v>
      </c>
      <c r="U36" s="9" t="n">
        <v>335.9</v>
      </c>
      <c r="V36" s="9" t="n">
        <v>340.3</v>
      </c>
      <c r="W36" s="9" t="n">
        <v>339.3</v>
      </c>
      <c r="X36" s="7" t="n">
        <f aca="false">AVERAGE(D36:W36)</f>
        <v>335.72</v>
      </c>
      <c r="Y36" s="8" t="n">
        <f aca="false">_xlfn.STDEV.S(D36:W36)</f>
        <v>3.47708286688108</v>
      </c>
      <c r="Z36" s="8" t="n">
        <f aca="false">Y36/X36</f>
        <v>0.0103570918231892</v>
      </c>
      <c r="AC36" s="7"/>
      <c r="AD36" s="8"/>
      <c r="AE36" s="8"/>
    </row>
    <row r="37" customFormat="false" ht="16.75" hidden="false" customHeight="false" outlineLevel="0" collapsed="false">
      <c r="B37" s="4"/>
      <c r="C37" s="5" t="n">
        <v>150</v>
      </c>
      <c r="D37" s="9" t="n">
        <v>360.3</v>
      </c>
      <c r="E37" s="9" t="n">
        <v>353.8</v>
      </c>
      <c r="F37" s="9" t="n">
        <v>357.2</v>
      </c>
      <c r="G37" s="9" t="n">
        <v>358.8</v>
      </c>
      <c r="H37" s="9" t="n">
        <v>352.9</v>
      </c>
      <c r="I37" s="9" t="n">
        <v>356.2</v>
      </c>
      <c r="J37" s="9" t="n">
        <v>362.4</v>
      </c>
      <c r="K37" s="9" t="n">
        <v>354.7</v>
      </c>
      <c r="L37" s="9" t="n">
        <v>351.3</v>
      </c>
      <c r="M37" s="9" t="n">
        <v>357</v>
      </c>
      <c r="N37" s="9" t="n">
        <v>351.1</v>
      </c>
      <c r="O37" s="9" t="n">
        <v>358.6</v>
      </c>
      <c r="P37" s="9" t="n">
        <v>344.6</v>
      </c>
      <c r="Q37" s="9" t="n">
        <v>355</v>
      </c>
      <c r="R37" s="9" t="n">
        <v>347.5</v>
      </c>
      <c r="S37" s="9" t="n">
        <v>353.3</v>
      </c>
      <c r="T37" s="9" t="n">
        <v>357.4</v>
      </c>
      <c r="U37" s="9" t="n">
        <v>356.8</v>
      </c>
      <c r="V37" s="9" t="n">
        <v>353.9</v>
      </c>
      <c r="W37" s="9" t="n">
        <v>350.9</v>
      </c>
      <c r="X37" s="7" t="n">
        <f aca="false">AVERAGE(D37:W37)</f>
        <v>354.685</v>
      </c>
      <c r="Y37" s="8" t="n">
        <f aca="false">_xlfn.STDEV.S(D37:W37)</f>
        <v>4.2778837611235</v>
      </c>
      <c r="Z37" s="8" t="n">
        <f aca="false">Y37/X37</f>
        <v>0.0120610788759702</v>
      </c>
      <c r="AC37" s="7"/>
      <c r="AD37" s="8"/>
      <c r="AE37" s="8"/>
    </row>
    <row r="46" customFormat="false" ht="15" hidden="false" customHeight="false" outlineLevel="0" collapsed="false"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</sheetData>
  <mergeCells count="10">
    <mergeCell ref="A1:C3"/>
    <mergeCell ref="D2:Z4"/>
    <mergeCell ref="B6:B8"/>
    <mergeCell ref="B9:B11"/>
    <mergeCell ref="B12:B17"/>
    <mergeCell ref="A21:C23"/>
    <mergeCell ref="D22:Z24"/>
    <mergeCell ref="B26:B28"/>
    <mergeCell ref="B29:B31"/>
    <mergeCell ref="B32:B37"/>
  </mergeCells>
  <conditionalFormatting sqref="D26:W35 D37:W37">
    <cfRule type="cellIs" priority="2" operator="greaterThan" aboveAverage="0" equalAverage="0" bottom="0" percent="0" rank="0" text="" dxfId="4">
      <formula>380</formula>
    </cfRule>
  </conditionalFormatting>
  <conditionalFormatting sqref="D12:D17 F12:W17">
    <cfRule type="cellIs" priority="3" operator="greaterThan" aboveAverage="0" equalAverage="0" bottom="0" percent="0" rank="0" text="" dxfId="5">
      <formula>400</formula>
    </cfRule>
  </conditionalFormatting>
  <conditionalFormatting sqref="D6:W11">
    <cfRule type="cellIs" priority="4" operator="greaterThan" aboveAverage="0" equalAverage="0" bottom="0" percent="0" rank="0" text="" dxfId="6">
      <formula>400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Collabora_Office/24.04.18.3$Linux_X86_64 LibreOffice_project/1c5faab5105dc67d68f2698169bd1f4db49bba47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Lars Wagner</dc:creator>
  <dc:description/>
  <dc:language>en-US</dc:language>
  <cp:lastModifiedBy/>
  <dcterms:modified xsi:type="dcterms:W3CDTF">2026-09-16T23:39:25Z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